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/>
  <xr:revisionPtr revIDLastSave="0" documentId="11_C7040CEC8DFCBDBDFF2D22A1697502FE717CEF58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📊 Dashboard" sheetId="1" r:id="rId1"/>
    <sheet name="💰 Unit Economics" sheetId="2" r:id="rId2"/>
    <sheet name="📈 P&amp;L Projections" sheetId="3" r:id="rId3"/>
    <sheet name="📉 D2C Key Metrics" sheetId="4" r:id="rId4"/>
    <sheet name="💸 Budget &amp; Cash Flow" sheetId="5" r:id="rId5"/>
    <sheet name="🚀 Scale-Up Plan" sheetId="6" r:id="rId6"/>
    <sheet name="⚠️ Downside &amp; Pivot" sheetId="7" r:id="rId7"/>
    <sheet name="🔍 Competitor Analysis" sheetId="8" r:id="rId8"/>
    <sheet name="⚙️ Assumption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" i="3" l="1"/>
  <c r="B29" i="1"/>
  <c r="I15" i="1"/>
  <c r="E15" i="1"/>
  <c r="J15" i="1"/>
  <c r="I16" i="1"/>
  <c r="E16" i="1"/>
  <c r="J16" i="1"/>
  <c r="I17" i="1"/>
  <c r="E17" i="1"/>
  <c r="J17" i="1"/>
  <c r="I18" i="1"/>
  <c r="E18" i="1"/>
  <c r="J18" i="1"/>
  <c r="J19" i="1"/>
  <c r="I19" i="1"/>
</calcChain>
</file>

<file path=xl/sharedStrings.xml><?xml version="1.0" encoding="utf-8"?>
<sst xmlns="http://schemas.openxmlformats.org/spreadsheetml/2006/main" count="791" uniqueCount="665">
  <si>
    <t>D2C SKINCARE STARTUP — BUSINESS PLAN &amp; FINANCIAL MODEL</t>
  </si>
  <si>
    <t>Initial Capital: ₹20,00,000  |  Product Lines: 4  |  Business Model: D2C Online  |  Currency: INR</t>
  </si>
  <si>
    <t>KEY BUSINESS METRICS AT A GLANCE</t>
  </si>
  <si>
    <t>INITIAL BUDGET</t>
  </si>
  <si>
    <t>PRODUCTS</t>
  </si>
  <si>
    <t>TARGET BREAKEVEN</t>
  </si>
  <si>
    <t>COMPETITOR</t>
  </si>
  <si>
    <t>₹20,00,000</t>
  </si>
  <si>
    <t>4 SKUs</t>
  </si>
  <si>
    <t>Month 8-10</t>
  </si>
  <si>
    <t>Minimalist</t>
  </si>
  <si>
    <t>RUNWAY (Months)</t>
  </si>
  <si>
    <t>ROAS TARGET</t>
  </si>
  <si>
    <t>TARGET AOV</t>
  </si>
  <si>
    <t>CAC TARGET</t>
  </si>
  <si>
    <t>12 Months</t>
  </si>
  <si>
    <t>3.5x</t>
  </si>
  <si>
    <t>₹899</t>
  </si>
  <si>
    <t>₹350</t>
  </si>
  <si>
    <t>PRODUCT LINE OVERVIEW</t>
  </si>
  <si>
    <t>Product</t>
  </si>
  <si>
    <t>Type</t>
  </si>
  <si>
    <t>MRP (₹)</t>
  </si>
  <si>
    <t>COGS (₹)</t>
  </si>
  <si>
    <t>Gross Margin %</t>
  </si>
  <si>
    <t>Month 1 Units</t>
  </si>
  <si>
    <t>Month 6 Units</t>
  </si>
  <si>
    <t>Month 12 Units</t>
  </si>
  <si>
    <t>Year 1 Revenue</t>
  </si>
  <si>
    <t>Year 1 Profit</t>
  </si>
  <si>
    <t>Moisturiser</t>
  </si>
  <si>
    <t>Standalone</t>
  </si>
  <si>
    <t>Sunscreen SPF50+</t>
  </si>
  <si>
    <t>2-in-1 Moisturiser+Sunscreen</t>
  </si>
  <si>
    <t>Combo</t>
  </si>
  <si>
    <t>Vitamin C Serum</t>
  </si>
  <si>
    <t>Premium</t>
  </si>
  <si>
    <t>TOTAL</t>
  </si>
  <si>
    <t>BUDGET ALLOCATION (₹20L)</t>
  </si>
  <si>
    <t>SCENARIO SUMMARY</t>
  </si>
  <si>
    <t>Product Development &amp; Manufacturing</t>
  </si>
  <si>
    <t>30%</t>
  </si>
  <si>
    <t>Scenario</t>
  </si>
  <si>
    <t>Month 6 Revenue</t>
  </si>
  <si>
    <t>Month 12 Revenue</t>
  </si>
  <si>
    <t>Outcome</t>
  </si>
  <si>
    <t>Digital Marketing &amp; Ads (Meta/Google)</t>
  </si>
  <si>
    <t>25%</t>
  </si>
  <si>
    <t>🐂 Bull Case</t>
  </si>
  <si>
    <t>₹15,00,000</t>
  </si>
  <si>
    <t>₹45,00,000</t>
  </si>
  <si>
    <t>Profitable</t>
  </si>
  <si>
    <t>Website, Tech &amp; Tools</t>
  </si>
  <si>
    <t>7.5%</t>
  </si>
  <si>
    <t>📈 Base Case</t>
  </si>
  <si>
    <t>₹8,00,000</t>
  </si>
  <si>
    <t>₹25,00,000</t>
  </si>
  <si>
    <t>Breakeven M10</t>
  </si>
  <si>
    <t>Packaging &amp; Branding</t>
  </si>
  <si>
    <t>10%</t>
  </si>
  <si>
    <t>🐻 Bear Case</t>
  </si>
  <si>
    <t>₹3,50,000</t>
  </si>
  <si>
    <t>Capital at risk</t>
  </si>
  <si>
    <t>Logistics &amp; Fulfillment Setup</t>
  </si>
  <si>
    <t>💀 Downside</t>
  </si>
  <si>
    <t>₹1,50,000</t>
  </si>
  <si>
    <t>₹3,00,000</t>
  </si>
  <si>
    <t>Pivot needed</t>
  </si>
  <si>
    <t>Influencer &amp; Content Creation</t>
  </si>
  <si>
    <t>Working Capital / Buffer</t>
  </si>
  <si>
    <t>12.5%</t>
  </si>
  <si>
    <t>UNIT ECONOMICS — PER PRODUCT ANALYSIS</t>
  </si>
  <si>
    <t>METRIC</t>
  </si>
  <si>
    <t>Moisturiser
(₹699)</t>
  </si>
  <si>
    <t>Sunscreen SPF50+
(₹799)</t>
  </si>
  <si>
    <t>2-in-1 Combo
(₹999)</t>
  </si>
  <si>
    <t>Vitamin C Serum
(₹1199)</t>
  </si>
  <si>
    <t>── PRICING ──</t>
  </si>
  <si>
    <t>MRP / Selling Price (₹)</t>
  </si>
  <si>
    <t>Effective Selling Price (after discount)</t>
  </si>
  <si>
    <t>Assuming 10% avg discount</t>
  </si>
  <si>
    <t>── COST STRUCTURE ──</t>
  </si>
  <si>
    <t>Raw Material + Manufacturing (COGS)</t>
  </si>
  <si>
    <t>Packaging Cost</t>
  </si>
  <si>
    <t>Shipping &amp; Logistics per unit</t>
  </si>
  <si>
    <t>Avg. courier + RTO</t>
  </si>
  <si>
    <t>Payment Gateway Charges (~2%)</t>
  </si>
  <si>
    <t>Return Provision per unit</t>
  </si>
  <si>
    <t>Based on return rate</t>
  </si>
  <si>
    <t>Total Variable Cost per Unit</t>
  </si>
  <si>
    <t>── MARGINS ──</t>
  </si>
  <si>
    <t>Gross Profit per Unit (before CAC)</t>
  </si>
  <si>
    <t>Effective Price - Variable Cost</t>
  </si>
  <si>
    <t>Customer Acquisition Cost (CAC)</t>
  </si>
  <si>
    <t>Blended Meta+Google</t>
  </si>
  <si>
    <t>Contribution Margin (after CAC)</t>
  </si>
  <si>
    <t>Gross Profit - CAC</t>
  </si>
  <si>
    <t>Contribution Margin %</t>
  </si>
  <si>
    <t>── D2C KEY METRICS ──</t>
  </si>
  <si>
    <t>Return Rate %</t>
  </si>
  <si>
    <t>Industry avg: 2-4%</t>
  </si>
  <si>
    <t>Repeat Purchase Rate (6M)</t>
  </si>
  <si>
    <t>% of customers reorder</t>
  </si>
  <si>
    <t>Lifetime Value (LTV) - 2 Orders</t>
  </si>
  <si>
    <t>1st order + repeat GM</t>
  </si>
  <si>
    <t>LTV:CAC Ratio</t>
  </si>
  <si>
    <t>Target: &gt;3x is healthy</t>
  </si>
  <si>
    <t>Payback Period (Months)</t>
  </si>
  <si>
    <t>CAC / Monthly Margin</t>
  </si>
  <si>
    <t>ROAS Required to Break Even</t>
  </si>
  <si>
    <t>Revenue / Ad Spend</t>
  </si>
  <si>
    <t>── BREAKEVEN ANALYSIS ──</t>
  </si>
  <si>
    <t>Fixed Cost Allocation per product (monthly)</t>
  </si>
  <si>
    <t>Overhead share</t>
  </si>
  <si>
    <t>Breakeven Units/Month</t>
  </si>
  <si>
    <t>Fixed Cost / Contribution Margin</t>
  </si>
  <si>
    <t>PROFIT &amp; LOSS PROJECTIONS — MONTH 1 TO 12 (BASE CASE)</t>
  </si>
  <si>
    <t>METRIC (₹)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</si>
  <si>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</si>
  <si>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</si>
  <si>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</si>
  <si>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</si>
  <si>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</si>
  <si>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</si>
  <si>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</si>
  <si>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</si>
  <si>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</si>
  <si>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</si>
  <si>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</si>
  <si>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</si>
  <si>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H1 Total</t>
  </si>
  <si>
    <t>H2 Total</t>
  </si>
  <si>
    <t>REVENUE</t>
  </si>
  <si>
    <t xml:space="preserve">  Moisturiser Units</t>
  </si>
  <si>
    <t xml:space="preserve">  Sunscreen Units</t>
  </si>
  <si>
    <t xml:space="preserve">  2-in-1 Combo Units</t>
  </si>
  <si>
    <t xml:space="preserve">  Serum Units</t>
  </si>
  <si>
    <t>Net Revenue (after 10% discount)</t>
  </si>
  <si>
    <t>COST OF GOODS SOLD (COGS)</t>
  </si>
  <si>
    <t>Total COGS (Mfg + Packaging)</t>
  </si>
  <si>
    <t>GROSS PROFIT</t>
  </si>
  <si>
    <t xml:space="preserve">  Gross Margin %</t>
  </si>
  <si>
    <t>OPERATING EXPENSES</t>
  </si>
  <si>
    <t xml:space="preserve">  Digital Marketing (Meta/Google Ads)</t>
  </si>
  <si>
    <t xml:space="preserve">  Shipping &amp; Logistics</t>
  </si>
  <si>
    <t xml:space="preserve">  Platform / Payment Gateway Fees (~2%)</t>
  </si>
  <si>
    <t xml:space="preserve">  Influencer &amp; Content Marketing</t>
  </si>
  <si>
    <t xml:space="preserve">  Fixed Ops (Salaries, Tools, Misc)</t>
  </si>
  <si>
    <t>Total Operating Expenses</t>
  </si>
  <si>
    <t>EBITDA / NET PROFIT (LOSS)</t>
  </si>
  <si>
    <t>EBITDA</t>
  </si>
  <si>
    <t xml:space="preserve">  EBITDA Margin %</t>
  </si>
  <si>
    <t>Cumulative Cash Position</t>
  </si>
  <si>
    <t>D2C KEY METRICS — MONTH-BY-MONTH TRACKING DASHBOARD</t>
  </si>
  <si>
    <t>TRAFFIC &amp; ACQUISITION</t>
  </si>
  <si>
    <t xml:space="preserve">  Website Sessions</t>
  </si>
  <si>
    <t xml:space="preserve">  Conversion Rate %</t>
  </si>
  <si>
    <t xml:space="preserve">  Total Orders</t>
  </si>
  <si>
    <t xml:space="preserve">  Customer Acquisition Cost (CAC)</t>
  </si>
  <si>
    <t xml:space="preserve">  Total Ad Spend</t>
  </si>
  <si>
    <t xml:space="preserve">  ROAS (Revenue / Ad Spend)</t>
  </si>
  <si>
    <t>REVENUE METRICS</t>
  </si>
  <si>
    <t xml:space="preserve">  Gross Revenue</t>
  </si>
  <si>
    <t xml:space="preserve">  Average Order Value (AOV)</t>
  </si>
  <si>
    <t xml:space="preserve">  Revenue per Session</t>
  </si>
  <si>
    <t xml:space="preserve">  MoM Revenue Growth %</t>
  </si>
  <si>
    <t>RETENTION &amp; CUSTOMER METRICS</t>
  </si>
  <si>
    <t xml:space="preserve">  New Customers</t>
  </si>
  <si>
    <t xml:space="preserve">  Returning Customers</t>
  </si>
  <si>
    <t xml:space="preserve">  Repeat Purchase Rate %</t>
  </si>
  <si>
    <t xml:space="preserve">  LTV (Estimated 6-month)</t>
  </si>
  <si>
    <t xml:space="preserve">  LTV:CAC Ratio</t>
  </si>
  <si>
    <t xml:space="preserve">  Churn Rate (monthly) %</t>
  </si>
  <si>
    <t>COST &amp; PROFITABILITY</t>
  </si>
  <si>
    <t xml:space="preserve">  Total COGS</t>
  </si>
  <si>
    <t xml:space="preserve">  Total OpEx</t>
  </si>
  <si>
    <t xml:space="preserve">  EBITDA</t>
  </si>
  <si>
    <t xml:space="preserve">  Cash Burn / (Generation)</t>
  </si>
  <si>
    <t>OPERATIONAL METRICS</t>
  </si>
  <si>
    <t xml:space="preserve">  Return Rate %</t>
  </si>
  <si>
    <t xml:space="preserve">  Cart Abandonment Rate %</t>
  </si>
  <si>
    <t xml:space="preserve">  Fulfilled Orders on Time %</t>
  </si>
  <si>
    <t xml:space="preserve">  Inventory Turnover (days)</t>
  </si>
  <si>
    <t xml:space="preserve">  NPS Score (Net Promoter)</t>
  </si>
  <si>
    <t>BUDGET ALLOCATION &amp; CASH FLOW STATEMENT</t>
  </si>
  <si>
    <t>INITIAL ₹20L BUDGET ALLOCATION</t>
  </si>
  <si>
    <t>Category</t>
  </si>
  <si>
    <t>Description</t>
  </si>
  <si>
    <t>Amount (₹)</t>
  </si>
  <si>
    <t>% of Budget</t>
  </si>
  <si>
    <t>Product Development</t>
  </si>
  <si>
    <t>Manufacturing first batch (4 products, 500 units each)</t>
  </si>
  <si>
    <t>20%</t>
  </si>
  <si>
    <t>Raw Material &amp; Ingredients</t>
  </si>
  <si>
    <t>Premium grade inputs for all 4 SKUs</t>
  </si>
  <si>
    <t>Custom packaging, inserts, unboxing experience</t>
  </si>
  <si>
    <t>Website &amp; Tech Stack</t>
  </si>
  <si>
    <t>Shopify + apps, payment gateway, analytics</t>
  </si>
  <si>
    <t>Digital Marketing (M1-M3)</t>
  </si>
  <si>
    <t>Meta + Google ads budget for first 3 months</t>
  </si>
  <si>
    <t>15%</t>
  </si>
  <si>
    <t>Influencer &amp; Content</t>
  </si>
  <si>
    <t>Micro-influencers, reels, product photography</t>
  </si>
  <si>
    <t>Logistics Setup</t>
  </si>
  <si>
    <t>3PL tie-up, packaging material, courier deals</t>
  </si>
  <si>
    <t>5%</t>
  </si>
  <si>
    <t>Regulatory &amp; Legal</t>
  </si>
  <si>
    <t>FDA registration, FSSAI, brand trademark, compliance</t>
  </si>
  <si>
    <t>Working Capital Reserve</t>
  </si>
  <si>
    <t>Buffer for surprises, RTO losses, refunds</t>
  </si>
  <si>
    <t>Emergency Fund</t>
  </si>
  <si>
    <t>Do not touch unless critical</t>
  </si>
  <si>
    <t>TOTAL INITIAL INVESTMENT</t>
  </si>
  <si>
    <t>MONTHLY CASH FLOW STATEMENT</t>
  </si>
  <si>
    <t>ITEM</t>
  </si>
  <si>
    <t>Total</t>
  </si>
  <si>
    <t>Cash Inflows</t>
  </si>
  <si>
    <t xml:space="preserve">  Revenue Collections</t>
  </si>
  <si>
    <t>Cash Outflows</t>
  </si>
  <si>
    <t xml:space="preserve">  COGS Payments</t>
  </si>
  <si>
    <t xml:space="preserve">  Marketing Spend</t>
  </si>
  <si>
    <t xml:space="preserve">  Shipping Costs</t>
  </si>
  <si>
    <t xml:space="preserve">  Fixed Operations</t>
  </si>
  <si>
    <t xml:space="preserve">  Influencer/Content</t>
  </si>
  <si>
    <t>Net Cash Flow</t>
  </si>
  <si>
    <t>Opening Balance</t>
  </si>
  <si>
    <t>Closing Balance</t>
  </si>
  <si>
    <t>SCALE-UP INVESTMENT PLAN — ROUND 2 FUNDING &amp; GROWTH STRATEGY</t>
  </si>
  <si>
    <t>SCALE-UP TRIGGERS &amp; CONDITIONS (When to raise more capital)</t>
  </si>
  <si>
    <t>Trigger Condition</t>
  </si>
  <si>
    <t>Threshold</t>
  </si>
  <si>
    <t>Action</t>
  </si>
  <si>
    <t>Capital Needed</t>
  </si>
  <si>
    <t>Source</t>
  </si>
  <si>
    <t>Monthly Revenue Run Rate</t>
  </si>
  <si>
    <t>&gt; ₹8,00,000/month</t>
  </si>
  <si>
    <t>Raise Round 2</t>
  </si>
  <si>
    <t>₹50,00,000</t>
  </si>
  <si>
    <t>Angel/Friends &amp; Family</t>
  </si>
  <si>
    <t>ROAS consistently</t>
  </si>
  <si>
    <t>&gt; 3.5x for 2 months</t>
  </si>
  <si>
    <t>Scale Ad Spend 3x</t>
  </si>
  <si>
    <t>Internal + Bootstrap</t>
  </si>
  <si>
    <t>&gt; 3.0x</t>
  </si>
  <si>
    <t>Expand to Offline D2C</t>
  </si>
  <si>
    <t>Revenue-based financing</t>
  </si>
  <si>
    <t>Cash Reserves drop below</t>
  </si>
  <si>
    <t>Emergency fundraise/pivot</t>
  </si>
  <si>
    <t>₹10,00,000 (min)</t>
  </si>
  <si>
    <t>Founder injection or angels</t>
  </si>
  <si>
    <t>NPS Score sustained</t>
  </si>
  <si>
    <t>&gt; 50 for 3 months</t>
  </si>
  <si>
    <t>Launch 2 new SKUs</t>
  </si>
  <si>
    <t>Retained profits</t>
  </si>
  <si>
    <t>Repeat purchase rate</t>
  </si>
  <si>
    <t>&gt; 25%</t>
  </si>
  <si>
    <t>Launch subscription model</t>
  </si>
  <si>
    <t>₹5,00,000</t>
  </si>
  <si>
    <t>Internal</t>
  </si>
  <si>
    <t>ROUND 2 CAPITAL DEPLOYMENT PLAN (₹50 Lakhs)</t>
  </si>
  <si>
    <t>Month 13-14</t>
  </si>
  <si>
    <t>Month 15-16</t>
  </si>
  <si>
    <t>Month 17-18</t>
  </si>
  <si>
    <t>Purpose</t>
  </si>
  <si>
    <t>Performance Marketing (Meta/Google)</t>
  </si>
  <si>
    <t>₹6,00,000</t>
  </si>
  <si>
    <t>₹10,00,000</t>
  </si>
  <si>
    <t>₹24,00,000</t>
  </si>
  <si>
    <t>Scale ROAS-positive channels</t>
  </si>
  <si>
    <t>New Product Development (2 SKUs)</t>
  </si>
  <si>
    <t>₹2,00,000</t>
  </si>
  <si>
    <t>₹1,00,000</t>
  </si>
  <si>
    <t>Toner + Eye Cream</t>
  </si>
  <si>
    <t>Influencer &amp; Brand Campaigns</t>
  </si>
  <si>
    <t>Build brand awareness</t>
  </si>
  <si>
    <t>Tech &amp; CRM Stack Upgrade</t>
  </si>
  <si>
    <t>₹50,000</t>
  </si>
  <si>
    <t>₹2,50,000</t>
  </si>
  <si>
    <t>Klaviyo, Hotjar, Helium10</t>
  </si>
  <si>
    <t>Inventory Build-up</t>
  </si>
  <si>
    <t>₹4,00,000</t>
  </si>
  <si>
    <t>₹9,00,000</t>
  </si>
  <si>
    <t>Reduce stockout risk</t>
  </si>
  <si>
    <t>-</t>
  </si>
  <si>
    <t>Buffer</t>
  </si>
  <si>
    <t>₹17,00,000</t>
  </si>
  <si>
    <t>₹17,50,000</t>
  </si>
  <si>
    <t>₹16,50,000</t>
  </si>
  <si>
    <t>₹51,00,000</t>
  </si>
  <si>
    <t>POST-SCALE PROJECTIONS — YEAR 2 (Month 13-24)</t>
  </si>
  <si>
    <t>Month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</si>
  <si>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</si>
  <si>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</si>
  <si>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</si>
  <si>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</si>
  <si>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</si>
  <si>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</si>
  <si>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</si>
  <si>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</si>
  <si>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</si>
  <si>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</si>
  <si>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</si>
  <si>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</si>
  <si>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Revenue</t>
  </si>
  <si>
    <t>DOWNSIDE SCENARIO ANALYSIS &amp; PIVOT PLAYBOOK</t>
  </si>
  <si>
    <t>SCENARIO COMPARISON: BASE vs DOWNSIDE vs CATASTROPHIC</t>
  </si>
  <si>
    <t>Metric</t>
  </si>
  <si>
    <t>Base Case</t>
  </si>
  <si>
    <t>Downside Case</t>
  </si>
  <si>
    <t>Catastrophic Case</t>
  </si>
  <si>
    <t>Trigger</t>
  </si>
  <si>
    <t>Recovery Action</t>
  </si>
  <si>
    <t>₹1,20,000</t>
  </si>
  <si>
    <t>ROAS &lt; 1.5x</t>
  </si>
  <si>
    <t>Pause ads, fix product</t>
  </si>
  <si>
    <t>No retention</t>
  </si>
  <si>
    <t>Pivot channel/product</t>
  </si>
  <si>
    <t>CAC</t>
  </si>
  <si>
    <t>₹310</t>
  </si>
  <si>
    <t>₹550</t>
  </si>
  <si>
    <t>₹900+</t>
  </si>
  <si>
    <t>High CPA</t>
  </si>
  <si>
    <t>Stop Meta, try organic</t>
  </si>
  <si>
    <t>LTV:CAC</t>
  </si>
  <si>
    <t>1.5x</t>
  </si>
  <si>
    <t>&lt; 1x</t>
  </si>
  <si>
    <t>Poor retention</t>
  </si>
  <si>
    <t>Subscription, bundles</t>
  </si>
  <si>
    <t>Cash Remaining (M12)</t>
  </si>
  <si>
    <t>₹12,00,000</t>
  </si>
  <si>
    <t>₹0 (bankrupt)</t>
  </si>
  <si>
    <t>Overspend</t>
  </si>
  <si>
    <t>Emergency cost cut</t>
  </si>
  <si>
    <t>ROAS</t>
  </si>
  <si>
    <t>1.8x</t>
  </si>
  <si>
    <t>Ad fatigue</t>
  </si>
  <si>
    <t>Creative refresh</t>
  </si>
  <si>
    <t>Return Rate</t>
  </si>
  <si>
    <t>3%</t>
  </si>
  <si>
    <t>8%</t>
  </si>
  <si>
    <t>15%+</t>
  </si>
  <si>
    <t>Quality issue</t>
  </si>
  <si>
    <t>Improve formulation</t>
  </si>
  <si>
    <t>Gross Margin</t>
  </si>
  <si>
    <t>58%</t>
  </si>
  <si>
    <t>48%</t>
  </si>
  <si>
    <t>35%</t>
  </si>
  <si>
    <t>COGS spike</t>
  </si>
  <si>
    <t>Renegotiate supplier</t>
  </si>
  <si>
    <t>DOWNSIDE P&amp;L — IF STRATEGY FAILS (Month 1-12)</t>
  </si>
  <si>
    <t>Revenue (40% of Base)</t>
  </si>
  <si>
    <t>COGS</t>
  </si>
  <si>
    <t>Operating Expenses</t>
  </si>
  <si>
    <t>Cumulative Cash</t>
  </si>
  <si>
    <t>🔄 PIVOT PLAYBOOK — WHAT TO DO IF ₹20L IS LOST</t>
  </si>
  <si>
    <t>Step</t>
  </si>
  <si>
    <t>Timeline</t>
  </si>
  <si>
    <t>Cost</t>
  </si>
  <si>
    <t>Expected Outcome</t>
  </si>
  <si>
    <t>Priority</t>
  </si>
  <si>
    <t>IMMEDIATE (Day 1)</t>
  </si>
  <si>
    <t>Stop all paid ads immediately</t>
  </si>
  <si>
    <t>Day 1</t>
  </si>
  <si>
    <t>₹0</t>
  </si>
  <si>
    <t>Stop cash bleed</t>
  </si>
  <si>
    <t>🔴 CRITICAL</t>
  </si>
  <si>
    <t>WEEK 1</t>
  </si>
  <si>
    <t>Liquidate remaining inventory at cost</t>
  </si>
  <si>
    <t>Week 1</t>
  </si>
  <si>
    <t>₹0 (recovery)</t>
  </si>
  <si>
    <t>Recover ₹2-4L</t>
  </si>
  <si>
    <t>WEEK 2</t>
  </si>
  <si>
    <t>Audit: What product had best sell-through?</t>
  </si>
  <si>
    <t>Week 2</t>
  </si>
  <si>
    <t>Find winning SKU</t>
  </si>
  <si>
    <t>🟡 HIGH</t>
  </si>
  <si>
    <t>Switch to organic: Instagram Reels, YouTube Shorts</t>
  </si>
  <si>
    <t>₹10,000/month</t>
  </si>
  <si>
    <t>Free traffic</t>
  </si>
  <si>
    <t>MONTH 2</t>
  </si>
  <si>
    <t>White-label or private-label to reduce COGS</t>
  </si>
  <si>
    <t>Month 2</t>
  </si>
  <si>
    <t>Improve margins to 65%+</t>
  </si>
  <si>
    <t>List on Amazon, Nykaa, Meesho for reach</t>
  </si>
  <si>
    <t>₹20,000 setup</t>
  </si>
  <si>
    <t>Tap existing traffic</t>
  </si>
  <si>
    <t>🟢 MEDIUM</t>
  </si>
  <si>
    <t>MONTH 3</t>
  </si>
  <si>
    <t>Partner with salons/clinics for B2B sales</t>
  </si>
  <si>
    <t>Month 3</t>
  </si>
  <si>
    <t>₹30,000</t>
  </si>
  <si>
    <t>Guaranteed volume orders</t>
  </si>
  <si>
    <t>Focus on 1 hero product only (best margin)</t>
  </si>
  <si>
    <t>Concentrated effort</t>
  </si>
  <si>
    <t>MONTH 4-6</t>
  </si>
  <si>
    <t>Raise ₹5-10L from angels for focused restart</t>
  </si>
  <si>
    <t>Month 4</t>
  </si>
  <si>
    <t>Equity dilution</t>
  </si>
  <si>
    <t>Revive with learnings</t>
  </si>
  <si>
    <t>ONGOING</t>
  </si>
  <si>
    <t>Build email/WhatsApp list organically</t>
  </si>
  <si>
    <t>Ongoing</t>
  </si>
  <si>
    <t>₹5,000/month</t>
  </si>
  <si>
    <t>0-cost retention channel</t>
  </si>
  <si>
    <t>COMPETITOR ANALYSIS — THE MINIMALIST (Justification + Full Benchmarking)</t>
  </si>
  <si>
    <t>WHY THE MINIMALIST? — JUSTIFICATION FOR COMPETITOR SELECTION</t>
  </si>
  <si>
    <t>Reason #1: Same D2C Model</t>
  </si>
  <si>
    <t>The Minimalist is a pure D2C brand with no offline presence initially — identical to our go-to-market strategy. Their playbook is directly replicable.</t>
  </si>
  <si>
    <t>Critical relevance</t>
  </si>
  <si>
    <t>Reason #2: Overlapping Products</t>
  </si>
  <si>
    <t>They sell moisturisers, sunscreens, and serums — exactly our 4 product lines. Unit economics comparison is apples-to-apples.</t>
  </si>
  <si>
    <t>Product parity</t>
  </si>
  <si>
    <t>Reason #3: Indian Market Pioneer</t>
  </si>
  <si>
    <t>Founded 2020, scaled to ₹100Cr+ ARR in 2 years in India. They prove this market works. Their mistakes and wins are our biggest learning.</t>
  </si>
  <si>
    <t>Proven market fit</t>
  </si>
  <si>
    <t>Reason #4: Price Point Overlap</t>
  </si>
  <si>
    <t>Their price range: ₹399–₹999. Our range: ₹699–₹1,199. We're competing directly for the same wallet share.</t>
  </si>
  <si>
    <t>Direct competition</t>
  </si>
  <si>
    <t>Reason #5: Evidence-based positioning</t>
  </si>
  <si>
    <t>Both brands use ingredient-led, science-backed marketing. Same target audience: urban, millennial, skincare-conscious consumers.</t>
  </si>
  <si>
    <t>Same ICP</t>
  </si>
  <si>
    <t>Reason #6: Digital-first Marketing</t>
  </si>
  <si>
    <t>Heavy Meta/Instagram and Google spenders. We can reverse-engineer their ad strategy via Meta Ad Library.</t>
  </si>
  <si>
    <t>Tactical learnings</t>
  </si>
  <si>
    <t>METRIC BENCHMARKING — OUR STARTUP vs THE MINIMALIST</t>
  </si>
  <si>
    <t>The Minimalist
(Established)</t>
  </si>
  <si>
    <t>Our Brand
(Month 1-6)</t>
  </si>
  <si>
    <t>Our Brand
(Month 7-12)</t>
  </si>
  <si>
    <t>Gap/Opportunity</t>
  </si>
  <si>
    <t>Strategy to Close Gap</t>
  </si>
  <si>
    <t>Revenue (Monthly)</t>
  </si>
  <si>
    <t>₹8–12 Crore</t>
  </si>
  <si>
    <t>₹3–8 Lakh</t>
  </si>
  <si>
    <t>₹15–25 Lakh</t>
  </si>
  <si>
    <t>100x gap</t>
  </si>
  <si>
    <t>Focus on niche, use Minimalist blueprint</t>
  </si>
  <si>
    <t>Avg Price Point</t>
  </si>
  <si>
    <t>₹399–₹699</t>
  </si>
  <si>
    <t>₹699–₹1199</t>
  </si>
  <si>
    <t>We're premium</t>
  </si>
  <si>
    <t>Justify premium via ingredients + branding</t>
  </si>
  <si>
    <t>~55–60%</t>
  </si>
  <si>
    <t>~52–58%</t>
  </si>
  <si>
    <t>~58–63%</t>
  </si>
  <si>
    <t>Comparable</t>
  </si>
  <si>
    <t>Achieve parity by M6, exceed by M12</t>
  </si>
  <si>
    <t>CAC (Blended)</t>
  </si>
  <si>
    <t>₹180–₹220</t>
  </si>
  <si>
    <t>₹320–₹420</t>
  </si>
  <si>
    <t>₹270–₹350</t>
  </si>
  <si>
    <t>2x higher</t>
  </si>
  <si>
    <t>Build organic; lower via retention</t>
  </si>
  <si>
    <t>LTV (12-month)</t>
  </si>
  <si>
    <t>₹1,500–₹2,500</t>
  </si>
  <si>
    <t>₹800–₹1,200</t>
  </si>
  <si>
    <t>₹1,500–₹2,000</t>
  </si>
  <si>
    <t>Closing gap</t>
  </si>
  <si>
    <t>Launch subscriptions, loyalty program</t>
  </si>
  <si>
    <t>6–8x</t>
  </si>
  <si>
    <t>1.5–2x</t>
  </si>
  <si>
    <t>3–4x</t>
  </si>
  <si>
    <t>Need improvement</t>
  </si>
  <si>
    <t>Reduce CAC via SEO, influencers</t>
  </si>
  <si>
    <t>4–6x</t>
  </si>
  <si>
    <t>2–2.5x</t>
  </si>
  <si>
    <t>Scaling helps</t>
  </si>
  <si>
    <t>Better creatives, retargeting flows</t>
  </si>
  <si>
    <t>~5%</t>
  </si>
  <si>
    <t>~3–4%</t>
  </si>
  <si>
    <t>~3%</t>
  </si>
  <si>
    <t>We're better!</t>
  </si>
  <si>
    <t>Maintain quality control advantage</t>
  </si>
  <si>
    <t>Repeat Purchase Rate</t>
  </si>
  <si>
    <t>35–40%</t>
  </si>
  <si>
    <t>15–20%</t>
  </si>
  <si>
    <t>25–30%</t>
  </si>
  <si>
    <t>Build CRM</t>
  </si>
  <si>
    <t>Email/WhatsApp flows, loyalty rewards</t>
  </si>
  <si>
    <t>AOV</t>
  </si>
  <si>
    <t>₹499–₹650</t>
  </si>
  <si>
    <t>₹750–₹850</t>
  </si>
  <si>
    <t>₹850–₹950</t>
  </si>
  <si>
    <t>We're higher</t>
  </si>
  <si>
    <t>Leverage premium to offset lower volume</t>
  </si>
  <si>
    <t>Conversion Rate</t>
  </si>
  <si>
    <t>2.5–3.5%</t>
  </si>
  <si>
    <t>1.3–1.6%</t>
  </si>
  <si>
    <t>1.8–2.2%</t>
  </si>
  <si>
    <t>Improve UX/CRO</t>
  </si>
  <si>
    <t>A/B test landing pages, add social proof</t>
  </si>
  <si>
    <t>SKU Count</t>
  </si>
  <si>
    <t>60+ products</t>
  </si>
  <si>
    <t>4 products</t>
  </si>
  <si>
    <t>6 products</t>
  </si>
  <si>
    <t>Feature, not bug</t>
  </si>
  <si>
    <t>Depth over breadth strategy</t>
  </si>
  <si>
    <t>Social Following (IG)</t>
  </si>
  <si>
    <t>2M+ followers</t>
  </si>
  <si>
    <t>0 (starting)</t>
  </si>
  <si>
    <t>10K–30K</t>
  </si>
  <si>
    <t>Brand building</t>
  </si>
  <si>
    <t>Consistent Reels, before/after content</t>
  </si>
  <si>
    <t>Influencer Tie-ups</t>
  </si>
  <si>
    <t>500+ micro</t>
  </si>
  <si>
    <t>5–10 micro</t>
  </si>
  <si>
    <t>20–50 micro</t>
  </si>
  <si>
    <t>Scale gradually</t>
  </si>
  <si>
    <t>Start with 5K–50K followers tier</t>
  </si>
  <si>
    <t>Website Traffic (Monthly)</t>
  </si>
  <si>
    <t>5–8 Lakh sessions</t>
  </si>
  <si>
    <t>2,000–6,000</t>
  </si>
  <si>
    <t>7,500–15,000</t>
  </si>
  <si>
    <t>SEO + Paid</t>
  </si>
  <si>
    <t>Long-form content, ingredient blogs</t>
  </si>
  <si>
    <t>OUR COMPETITIVE ADVANTAGES vs THE MINIMALIST</t>
  </si>
  <si>
    <t>Premium Positioning</t>
  </si>
  <si>
    <t>₹699–₹1,199 vs their ₹399–₹699</t>
  </si>
  <si>
    <t>Attract discerning customers, less price sensitivity</t>
  </si>
  <si>
    <t>Unique 2-in-1 Product</t>
  </si>
  <si>
    <t>No direct 2-in-1 moisturiser+sunscreen at scale in India</t>
  </si>
  <si>
    <t>First-mover advantage in combo segment</t>
  </si>
  <si>
    <t>Smaller = More Agile</t>
  </si>
  <si>
    <t>Can pivot fast, test new SKUs in 4-6 weeks</t>
  </si>
  <si>
    <t>Lower break-even, faster iteration</t>
  </si>
  <si>
    <t>Higher Margin at Launch</t>
  </si>
  <si>
    <t>Starting COGS lower via smaller but focused portfolio</t>
  </si>
  <si>
    <t>Better unit economics per SKU</t>
  </si>
  <si>
    <t>Personalized CX</t>
  </si>
  <si>
    <t>Small team = personal WhatsApp/email support</t>
  </si>
  <si>
    <t>Word of mouth and loyalty</t>
  </si>
  <si>
    <t>MODEL ASSUMPTIONS &amp; NOTES — ALL INPUT CELLS IN BLUE</t>
  </si>
  <si>
    <t>CATEGORY</t>
  </si>
  <si>
    <t>ASSUMPTION</t>
  </si>
  <si>
    <t>VALUE</t>
  </si>
  <si>
    <t>RANGE</t>
  </si>
  <si>
    <t>RATIONALE / SOURCE</t>
  </si>
  <si>
    <t>PRICING</t>
  </si>
  <si>
    <t>Moisturiser MRP</t>
  </si>
  <si>
    <t>Selling Price</t>
  </si>
  <si>
    <t>₹699</t>
  </si>
  <si>
    <t>₹599–₹799</t>
  </si>
  <si>
    <t>Comparable to Minimalist, Dot &amp; Key</t>
  </si>
  <si>
    <t>Sunscreen MRP</t>
  </si>
  <si>
    <t>₹799</t>
  </si>
  <si>
    <t>₹699–₹899</t>
  </si>
  <si>
    <t>Premium SPF 50+ PA++++ positioning</t>
  </si>
  <si>
    <t>2-in-1 Combo MRP</t>
  </si>
  <si>
    <t>₹999</t>
  </si>
  <si>
    <t>₹899–₹1,099</t>
  </si>
  <si>
    <t>Premium for dual-benefit formula</t>
  </si>
  <si>
    <t>Vitamin C Serum MRP</t>
  </si>
  <si>
    <t>₹1,199</t>
  </si>
  <si>
    <t>₹999–₹1,399</t>
  </si>
  <si>
    <t>Actives segment commands premium</t>
  </si>
  <si>
    <t>Avg Platform Discount</t>
  </si>
  <si>
    <t>% off MRP</t>
  </si>
  <si>
    <t>8–15%</t>
  </si>
  <si>
    <t>Sale events on website + coupon codes</t>
  </si>
  <si>
    <t>Moisturiser COGS</t>
  </si>
  <si>
    <t>Mfg + Raw Material</t>
  </si>
  <si>
    <t>₹140</t>
  </si>
  <si>
    <t>₹120–₹160</t>
  </si>
  <si>
    <t>MOQ 500 units, local contract mfg</t>
  </si>
  <si>
    <t>Sunscreen COGS</t>
  </si>
  <si>
    <t>₹160</t>
  </si>
  <si>
    <t>₹140–₹180</t>
  </si>
  <si>
    <t>SPF formula is slightly more expensive</t>
  </si>
  <si>
    <t>2-in-1 Combo COGS</t>
  </si>
  <si>
    <t>₹220</t>
  </si>
  <si>
    <t>₹190–₹250</t>
  </si>
  <si>
    <t>Combined actives = higher COGS</t>
  </si>
  <si>
    <t>Serum COGS</t>
  </si>
  <si>
    <t>₹250</t>
  </si>
  <si>
    <t>₹220–₹280</t>
  </si>
  <si>
    <t>Vitamin C is cost-intensive</t>
  </si>
  <si>
    <t>Packaging per unit (avg)</t>
  </si>
  <si>
    <t>Carton + pump/tube</t>
  </si>
  <si>
    <t>₹35–₹55</t>
  </si>
  <si>
    <t>₹30–₹65</t>
  </si>
  <si>
    <t>Custom printed + sustainable packaging</t>
  </si>
  <si>
    <t>LOGISTICS</t>
  </si>
  <si>
    <t>Avg Shipping Cost</t>
  </si>
  <si>
    <t>Per delivered order</t>
  </si>
  <si>
    <t>₹60–₹65</t>
  </si>
  <si>
    <t>₹55–₹80</t>
  </si>
  <si>
    <t>Delhivery/Shiprocket rates, prepaid</t>
  </si>
  <si>
    <t>% of orders</t>
  </si>
  <si>
    <t>3–4%</t>
  </si>
  <si>
    <t>2–8%</t>
  </si>
  <si>
    <t>Industry: 3-5%; online fashion 20-30%</t>
  </si>
  <si>
    <t>RTO Rate (prepaid focus)</t>
  </si>
  <si>
    <t>% Cash on Delivery</t>
  </si>
  <si>
    <t>5–8%</t>
  </si>
  <si>
    <t>5–15%</t>
  </si>
  <si>
    <t>Push prepaid to reduce RTO</t>
  </si>
  <si>
    <t>Payment Gateway Fee</t>
  </si>
  <si>
    <t>Razorpay blended</t>
  </si>
  <si>
    <t>~2%</t>
  </si>
  <si>
    <t>1.8–2.5%</t>
  </si>
  <si>
    <t>Razorpay standard rate</t>
  </si>
  <si>
    <t>MARKETING</t>
  </si>
  <si>
    <t>Initial CAC Blended</t>
  </si>
  <si>
    <t>Meta + Google avg</t>
  </si>
  <si>
    <t>₹300–₹500</t>
  </si>
  <si>
    <t>D2C beauty: ₹300–₹600 CAC typical</t>
  </si>
  <si>
    <t>Meta Ads ROAS (initial)</t>
  </si>
  <si>
    <t>First 3 months</t>
  </si>
  <si>
    <t>2.0–2.5x</t>
  </si>
  <si>
    <t>1.5–3.5x</t>
  </si>
  <si>
    <t>Industry benchmark for new brands</t>
  </si>
  <si>
    <t>Google ROAS</t>
  </si>
  <si>
    <t>Search + Shopping</t>
  </si>
  <si>
    <t>2.5–3.0x</t>
  </si>
  <si>
    <t>2.0–4.0x</t>
  </si>
  <si>
    <t>Intent-based, higher ROAS</t>
  </si>
  <si>
    <t>Organic Traffic Share</t>
  </si>
  <si>
    <t>Month 12 target</t>
  </si>
  <si>
    <t>20–30%</t>
  </si>
  <si>
    <t>10–40%</t>
  </si>
  <si>
    <t>SEO + social compounding</t>
  </si>
  <si>
    <t>Influencer Cost (micro)</t>
  </si>
  <si>
    <t>Per Reel (10K–100K)</t>
  </si>
  <si>
    <t>₹5,000–₹25,000</t>
  </si>
  <si>
    <t>₹3K–₹50K</t>
  </si>
  <si>
    <t>Macro influencers: ₹1L+</t>
  </si>
  <si>
    <t>RETENTION</t>
  </si>
  <si>
    <t>Within 6 months</t>
  </si>
  <si>
    <t>20–40%</t>
  </si>
  <si>
    <t>Skincare is habitual; good if &gt;25%</t>
  </si>
  <si>
    <t>Email Open Rate</t>
  </si>
  <si>
    <t>Campaign avg</t>
  </si>
  <si>
    <t>20–25%</t>
  </si>
  <si>
    <t>15–35%</t>
  </si>
  <si>
    <t>Beauty emails: Mailchimp benchmark</t>
  </si>
  <si>
    <t>WhatsApp Click Rate</t>
  </si>
  <si>
    <t>Broadcast campaigns</t>
  </si>
  <si>
    <t>35–50%</t>
  </si>
  <si>
    <t>25–60%</t>
  </si>
  <si>
    <t>Higher than email for India</t>
  </si>
  <si>
    <t>LTV (12-month estimate)</t>
  </si>
  <si>
    <t>Blended across SKUs</t>
  </si>
  <si>
    <t>₹1,800–₹2,200</t>
  </si>
  <si>
    <t>₹1,500–₹3,000</t>
  </si>
  <si>
    <t>Based on 1.3–1.5 orders/year avg</t>
  </si>
  <si>
    <t>OPERATIONS</t>
  </si>
  <si>
    <t>Initial Batch Size</t>
  </si>
  <si>
    <t>Per product</t>
  </si>
  <si>
    <t>500 units</t>
  </si>
  <si>
    <t>300–1,000</t>
  </si>
  <si>
    <t>MOQ for contract manufacturing</t>
  </si>
  <si>
    <t>Reorder Lead Time</t>
  </si>
  <si>
    <t>Manufacturer</t>
  </si>
  <si>
    <t>21–30 days</t>
  </si>
  <si>
    <t>15–45 days</t>
  </si>
  <si>
    <t>Indian contract mfg timelines</t>
  </si>
  <si>
    <t>Safety Stock (days)</t>
  </si>
  <si>
    <t>Inventory buffer</t>
  </si>
  <si>
    <t>30 days</t>
  </si>
  <si>
    <t>20–45 days</t>
  </si>
  <si>
    <t>Prevent stockouts during campaigns</t>
  </si>
  <si>
    <t>Team Size (Year 1)</t>
  </si>
  <si>
    <t>Founder + hires</t>
  </si>
  <si>
    <t>2–3 people</t>
  </si>
  <si>
    <t>2–5</t>
  </si>
  <si>
    <t>Founder + 1 ops + 1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</si>
</sst>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;&quot;(₹&quot;#,##0\);\-"/>
    <numFmt numFmtId="165" formatCode="0.0%;\(0.0%\);\-"/>
    <numFmt numFmtId="166" formatCode="0.00\x"/>
    <numFmt numFmtId="167" formatCode="0.0&quot; months&quot;"/>
    <numFmt numFmtId="168" formatCode="#,##0;\(#,##0\);\-"/>
    <numFmt numFmtId="169" formatCode="\₹#,##0.00;&quot;(₹&quot;#,##0.00\);\-"/>
    <numFmt numFmtId="170" formatCode="#,##0&quot; days&quot;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CCCCCC"/>
      <name val="Arial"/>
      <charset val="1"/>
    </font>
    <font>
      <b/>
      <sz val="12"/>
      <color rgb="FFFFFFFF"/>
      <name val="Arial"/>
      <charset val="1"/>
    </font>
    <font>
      <b/>
      <sz val="9"/>
      <color rgb="FF555555"/>
      <name val="Arial"/>
      <charset val="1"/>
    </font>
    <font>
      <b/>
      <sz val="14"/>
      <color rgb="FF1A1A2E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777777"/>
      <name val="Arial"/>
      <charset val="1"/>
    </font>
    <font>
      <sz val="10"/>
      <color rgb="FF00B050"/>
      <name val="Arial"/>
      <charset val="1"/>
    </font>
    <font>
      <sz val="10"/>
      <color rgb="FFE26B0A"/>
      <name val="Arial"/>
      <charset val="1"/>
    </font>
    <font>
      <sz val="10"/>
      <color rgb="FFFF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3864"/>
        <bgColor rgb="FF16213E"/>
      </patternFill>
    </fill>
    <fill>
      <patternFill patternType="solid">
        <fgColor rgb="FFDCE6F1"/>
        <bgColor rgb="FFEBF1DE"/>
      </patternFill>
    </fill>
    <fill>
      <patternFill patternType="solid">
        <fgColor rgb="FFEBF1DE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FFFFE0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2F2"/>
        <bgColor rgb="FFEBF1DE"/>
      </patternFill>
    </fill>
    <fill>
      <patternFill patternType="solid">
        <fgColor rgb="FF375623"/>
        <bgColor rgb="FF555555"/>
      </patternFill>
    </fill>
    <fill>
      <patternFill patternType="solid">
        <fgColor rgb="FF974706"/>
        <bgColor rgb="FF808000"/>
      </patternFill>
    </fill>
    <fill>
      <patternFill patternType="solid">
        <fgColor rgb="FF7B5EA7"/>
        <bgColor rgb="FF777777"/>
      </patternFill>
    </fill>
    <fill>
      <patternFill patternType="solid">
        <fgColor rgb="FFFFD7D7"/>
        <bgColor rgb="FFFCE4D6"/>
      </patternFill>
    </fill>
    <fill>
      <patternFill patternType="solid">
        <fgColor rgb="FF7B0000"/>
        <bgColor rgb="FF660066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2" xfId="0" applyBorder="1" applyAlignment="1"/>
    <xf numFmtId="0" fontId="6" fillId="10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7" fillId="8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0" fillId="0" borderId="2" xfId="0" applyBorder="1" applyAlignment="1"/>
    <xf numFmtId="164" fontId="10" fillId="9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68" fontId="9" fillId="4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164" fontId="10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164" fontId="10" fillId="5" borderId="0" xfId="0" applyNumberFormat="1" applyFont="1" applyFill="1" applyAlignment="1">
      <alignment horizontal="center" vertical="center"/>
    </xf>
    <xf numFmtId="165" fontId="8" fillId="9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164" fontId="10" fillId="6" borderId="2" xfId="0" applyNumberFormat="1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68" fontId="8" fillId="4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68" fontId="8" fillId="5" borderId="2" xfId="0" applyNumberFormat="1" applyFont="1" applyFill="1" applyBorder="1" applyAlignment="1">
      <alignment horizontal="center" vertical="center"/>
    </xf>
    <xf numFmtId="166" fontId="8" fillId="4" borderId="2" xfId="0" applyNumberFormat="1" applyFont="1" applyFill="1" applyBorder="1" applyAlignment="1">
      <alignment horizontal="center" vertical="center"/>
    </xf>
    <xf numFmtId="170" fontId="8" fillId="7" borderId="2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4" fontId="8" fillId="13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168" fontId="8" fillId="6" borderId="1" xfId="0" applyNumberFormat="1" applyFont="1" applyFill="1" applyBorder="1" applyAlignment="1">
      <alignment horizontal="center" vertical="center"/>
    </xf>
    <xf numFmtId="168" fontId="8" fillId="7" borderId="1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11" borderId="0" xfId="0" applyFont="1" applyFill="1" applyBorder="1" applyAlignment="1">
      <alignment horizontal="left" vertical="center"/>
    </xf>
    <xf numFmtId="0" fontId="6" fillId="12" borderId="0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11" fillId="14" borderId="0" xfId="0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7030A0"/>
      <rgbColor rgb="FFFFFFE0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BF1DE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26B0A"/>
      <rgbColor rgb="FF7B5EA7"/>
      <rgbColor rgb="FFAAAAAA"/>
      <rgbColor rgb="FF1F3864"/>
      <rgbColor rgb="FF00B050"/>
      <rgbColor rgb="FF375623"/>
      <rgbColor rgb="FF1A1A2E"/>
      <rgbColor rgb="FF974706"/>
      <rgbColor rgb="FF595959"/>
      <rgbColor rgb="FF555555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29"/>
  <sheetViews>
    <sheetView showGridLines="0" zoomScaleNormal="100" workbookViewId="0"/>
  </sheetViews>
  <sheetFormatPr defaultColWidth="8.7421875" defaultRowHeight="15" x14ac:dyDescent="0.2"/>
  <cols>
    <col min="1" max="1" width="27.98046875" style="15" customWidth="1"/>
    <col min="2" max="2" width="16.0078125" style="15" customWidth="1"/>
    <col min="3" max="3" width="9.953125" style="15" customWidth="1"/>
    <col min="4" max="5" width="11.97265625" style="15" customWidth="1"/>
    <col min="6" max="6" width="2.015625" style="15" customWidth="1"/>
    <col min="7" max="7" width="20.04296875" style="15" customWidth="1"/>
    <col min="8" max="8" width="16.0078125" style="15" customWidth="1"/>
    <col min="9" max="9" width="18.0234375" style="15" customWidth="1"/>
    <col min="10" max="10" width="16.0078125" style="15" customWidth="1"/>
    <col min="11" max="11" width="9.953125" style="15" customWidth="1"/>
  </cols>
  <sheetData>
    <row r="1" spans="1:14" ht="39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1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9.75" customHeight="1" x14ac:dyDescent="0.2"/>
    <row r="4" spans="1:14" ht="27.75" customHeight="1" x14ac:dyDescent="0.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19.5" customHeight="1" x14ac:dyDescent="0.2">
      <c r="A5" s="11" t="s">
        <v>3</v>
      </c>
      <c r="B5" s="11"/>
      <c r="D5" s="10" t="s">
        <v>4</v>
      </c>
      <c r="E5" s="10"/>
      <c r="G5" s="9" t="s">
        <v>5</v>
      </c>
      <c r="H5" s="9"/>
      <c r="J5" s="8" t="s">
        <v>6</v>
      </c>
      <c r="K5" s="8"/>
    </row>
    <row r="6" spans="1:14" ht="27.75" customHeight="1" x14ac:dyDescent="0.2">
      <c r="A6" s="7" t="s">
        <v>7</v>
      </c>
      <c r="B6" s="7"/>
      <c r="D6" s="6" t="s">
        <v>8</v>
      </c>
      <c r="E6" s="6"/>
      <c r="G6" s="5" t="s">
        <v>9</v>
      </c>
      <c r="H6" s="5"/>
      <c r="J6" s="4" t="s">
        <v>10</v>
      </c>
      <c r="K6" s="4"/>
    </row>
    <row r="7" spans="1:14" ht="7.5" customHeight="1" x14ac:dyDescent="0.2"/>
    <row r="8" spans="1:14" ht="7.5" customHeight="1" x14ac:dyDescent="0.2"/>
    <row r="9" spans="1:14" ht="19.5" customHeight="1" x14ac:dyDescent="0.2">
      <c r="A9" s="11" t="s">
        <v>11</v>
      </c>
      <c r="B9" s="11"/>
      <c r="D9" s="10" t="s">
        <v>12</v>
      </c>
      <c r="E9" s="10"/>
      <c r="G9" s="9" t="s">
        <v>13</v>
      </c>
      <c r="H9" s="9"/>
      <c r="J9" s="8" t="s">
        <v>14</v>
      </c>
      <c r="K9" s="8"/>
    </row>
    <row r="10" spans="1:14" ht="27.75" customHeight="1" x14ac:dyDescent="0.2">
      <c r="A10" s="7" t="s">
        <v>15</v>
      </c>
      <c r="B10" s="7"/>
      <c r="D10" s="6" t="s">
        <v>16</v>
      </c>
      <c r="E10" s="6"/>
      <c r="G10" s="5" t="s">
        <v>17</v>
      </c>
      <c r="H10" s="5"/>
      <c r="J10" s="4" t="s">
        <v>18</v>
      </c>
      <c r="K10" s="4"/>
    </row>
    <row r="11" spans="1:14" ht="7.5" customHeight="1" x14ac:dyDescent="0.2"/>
    <row r="13" spans="1:14" ht="25.5" customHeight="1" x14ac:dyDescent="0.2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21.75" customHeight="1" x14ac:dyDescent="0.2">
      <c r="A14" s="16" t="s">
        <v>20</v>
      </c>
      <c r="B14" s="16" t="s">
        <v>21</v>
      </c>
      <c r="C14" s="16" t="s">
        <v>22</v>
      </c>
      <c r="D14" s="16" t="s">
        <v>23</v>
      </c>
      <c r="E14" s="16" t="s">
        <v>24</v>
      </c>
      <c r="F14" s="16" t="s">
        <v>25</v>
      </c>
      <c r="G14" s="16" t="s">
        <v>26</v>
      </c>
      <c r="H14" s="16" t="s">
        <v>27</v>
      </c>
      <c r="I14" s="16" t="s">
        <v>28</v>
      </c>
      <c r="J14" s="16" t="s">
        <v>29</v>
      </c>
    </row>
    <row r="15" spans="1:14" ht="19.5" customHeight="1" x14ac:dyDescent="0.2">
      <c r="A15" s="17" t="s">
        <v>30</v>
      </c>
      <c r="B15" s="17" t="s">
        <v>31</v>
      </c>
      <c r="C15" s="18">
        <v>699</v>
      </c>
      <c r="D15" s="18">
        <v>140</v>
      </c>
      <c r="E15" s="19">
        <f>1-D15/C15</f>
        <v>0.79971387696709584</v>
      </c>
      <c r="F15" s="20">
        <v>80</v>
      </c>
      <c r="G15" s="20">
        <v>300</v>
      </c>
      <c r="H15" s="18">
        <v>600</v>
      </c>
      <c r="I15" s="21">
        <f>F15*C15*6+G15*C15*6</f>
        <v>1593720</v>
      </c>
      <c r="J15" s="17">
        <f>I15*(E15-0.35)</f>
        <v>716718</v>
      </c>
    </row>
    <row r="16" spans="1:14" ht="19.5" customHeight="1" x14ac:dyDescent="0.2">
      <c r="A16" s="22" t="s">
        <v>32</v>
      </c>
      <c r="B16" s="22" t="s">
        <v>31</v>
      </c>
      <c r="C16" s="23">
        <v>799</v>
      </c>
      <c r="D16" s="23">
        <v>160</v>
      </c>
      <c r="E16" s="24">
        <f>1-D16/C16</f>
        <v>0.79974968710888605</v>
      </c>
      <c r="F16" s="25">
        <v>70</v>
      </c>
      <c r="G16" s="25">
        <v>280</v>
      </c>
      <c r="H16" s="23">
        <v>550</v>
      </c>
      <c r="I16" s="26">
        <f>F16*C16*6+G16*C16*6</f>
        <v>1677900</v>
      </c>
      <c r="J16" s="22">
        <f>I16*(E16-0.35)</f>
        <v>754635</v>
      </c>
    </row>
    <row r="17" spans="1:14" ht="19.5" customHeight="1" x14ac:dyDescent="0.2">
      <c r="A17" s="27" t="s">
        <v>33</v>
      </c>
      <c r="B17" s="27" t="s">
        <v>34</v>
      </c>
      <c r="C17" s="28">
        <v>999</v>
      </c>
      <c r="D17" s="28">
        <v>220</v>
      </c>
      <c r="E17" s="29">
        <f>1-D17/C17</f>
        <v>0.77977977977977975</v>
      </c>
      <c r="F17" s="30">
        <v>60</v>
      </c>
      <c r="G17" s="30">
        <v>250</v>
      </c>
      <c r="H17" s="28">
        <v>500</v>
      </c>
      <c r="I17" s="31">
        <f>F17*C17*6+G17*C17*6</f>
        <v>1858140</v>
      </c>
      <c r="J17" s="27">
        <f>I17*(E17-0.35)</f>
        <v>798591</v>
      </c>
    </row>
    <row r="18" spans="1:14" ht="19.5" customHeight="1" x14ac:dyDescent="0.2">
      <c r="A18" s="32" t="s">
        <v>35</v>
      </c>
      <c r="B18" s="32" t="s">
        <v>36</v>
      </c>
      <c r="C18" s="33">
        <v>1199</v>
      </c>
      <c r="D18" s="33">
        <v>250</v>
      </c>
      <c r="E18" s="34">
        <f>1-D18/C18</f>
        <v>0.79149291075896577</v>
      </c>
      <c r="F18" s="35">
        <v>50</v>
      </c>
      <c r="G18" s="35">
        <v>200</v>
      </c>
      <c r="H18" s="33">
        <v>420</v>
      </c>
      <c r="I18" s="36">
        <f>F18*C18*6+G18*C18*6</f>
        <v>1798500</v>
      </c>
      <c r="J18" s="32">
        <f>I18*(E18-0.35)</f>
        <v>794025</v>
      </c>
    </row>
    <row r="19" spans="1:14" ht="21.75" customHeight="1" x14ac:dyDescent="0.2">
      <c r="A19" s="37" t="s">
        <v>37</v>
      </c>
      <c r="B19" s="38"/>
      <c r="C19" s="38"/>
      <c r="D19" s="38"/>
      <c r="E19" s="38"/>
      <c r="F19" s="38"/>
      <c r="G19" s="38"/>
      <c r="H19" s="38"/>
      <c r="I19" s="39">
        <f>SUM(I15:I18)</f>
        <v>6928260</v>
      </c>
      <c r="J19" s="39">
        <f>SUM(J15:J18)</f>
        <v>3063969</v>
      </c>
    </row>
    <row r="21" spans="1:14" ht="25.5" customHeight="1" x14ac:dyDescent="0.2">
      <c r="A21" s="3" t="s">
        <v>38</v>
      </c>
      <c r="B21" s="3"/>
      <c r="C21" s="3"/>
      <c r="D21" s="3"/>
      <c r="E21" s="3"/>
      <c r="G21" s="2" t="s">
        <v>39</v>
      </c>
      <c r="H21" s="2"/>
      <c r="I21" s="2"/>
      <c r="J21" s="2"/>
      <c r="K21" s="2"/>
      <c r="L21" s="2"/>
      <c r="M21" s="2"/>
      <c r="N21" s="2"/>
    </row>
    <row r="22" spans="1:14" ht="21.75" customHeight="1" x14ac:dyDescent="0.2">
      <c r="A22" s="40" t="s">
        <v>40</v>
      </c>
      <c r="B22" s="18">
        <v>600000</v>
      </c>
      <c r="C22" s="17" t="s">
        <v>41</v>
      </c>
      <c r="D22" s="1"/>
      <c r="E22" s="1"/>
      <c r="G22" s="16" t="s">
        <v>42</v>
      </c>
      <c r="H22" s="16" t="s">
        <v>43</v>
      </c>
      <c r="I22" s="16" t="s">
        <v>44</v>
      </c>
      <c r="J22" s="16" t="s">
        <v>45</v>
      </c>
    </row>
    <row r="23" spans="1:14" ht="21.75" customHeight="1" x14ac:dyDescent="0.2">
      <c r="A23" s="40" t="s">
        <v>46</v>
      </c>
      <c r="B23" s="18">
        <v>500000</v>
      </c>
      <c r="C23" s="17" t="s">
        <v>47</v>
      </c>
      <c r="D23" s="1"/>
      <c r="E23" s="1"/>
      <c r="G23" s="22" t="s">
        <v>48</v>
      </c>
      <c r="H23" s="22" t="s">
        <v>49</v>
      </c>
      <c r="I23" s="22" t="s">
        <v>50</v>
      </c>
      <c r="J23" s="22" t="s">
        <v>51</v>
      </c>
    </row>
    <row r="24" spans="1:14" ht="21.75" customHeight="1" x14ac:dyDescent="0.2">
      <c r="A24" s="40" t="s">
        <v>52</v>
      </c>
      <c r="B24" s="18">
        <v>150000</v>
      </c>
      <c r="C24" s="17" t="s">
        <v>53</v>
      </c>
      <c r="D24" s="1"/>
      <c r="E24" s="1"/>
      <c r="G24" s="17" t="s">
        <v>54</v>
      </c>
      <c r="H24" s="17" t="s">
        <v>55</v>
      </c>
      <c r="I24" s="17" t="s">
        <v>56</v>
      </c>
      <c r="J24" s="17" t="s">
        <v>57</v>
      </c>
    </row>
    <row r="25" spans="1:14" ht="21.75" customHeight="1" x14ac:dyDescent="0.2">
      <c r="A25" s="40" t="s">
        <v>58</v>
      </c>
      <c r="B25" s="18">
        <v>200000</v>
      </c>
      <c r="C25" s="17" t="s">
        <v>59</v>
      </c>
      <c r="D25" s="1"/>
      <c r="E25" s="1"/>
      <c r="G25" s="27" t="s">
        <v>60</v>
      </c>
      <c r="H25" s="27" t="s">
        <v>61</v>
      </c>
      <c r="I25" s="27" t="s">
        <v>55</v>
      </c>
      <c r="J25" s="27" t="s">
        <v>62</v>
      </c>
    </row>
    <row r="26" spans="1:14" ht="21.75" customHeight="1" x14ac:dyDescent="0.2">
      <c r="A26" s="40" t="s">
        <v>63</v>
      </c>
      <c r="B26" s="18">
        <v>150000</v>
      </c>
      <c r="C26" s="17" t="s">
        <v>53</v>
      </c>
      <c r="D26" s="1"/>
      <c r="E26" s="1"/>
      <c r="G26" s="32" t="s">
        <v>64</v>
      </c>
      <c r="H26" s="32" t="s">
        <v>65</v>
      </c>
      <c r="I26" s="32" t="s">
        <v>66</v>
      </c>
      <c r="J26" s="32" t="s">
        <v>67</v>
      </c>
    </row>
    <row r="27" spans="1:14" ht="19.5" customHeight="1" x14ac:dyDescent="0.2">
      <c r="A27" s="40" t="s">
        <v>68</v>
      </c>
      <c r="B27" s="18">
        <v>150000</v>
      </c>
      <c r="C27" s="17" t="s">
        <v>53</v>
      </c>
      <c r="D27" s="1"/>
      <c r="E27" s="1"/>
    </row>
    <row r="28" spans="1:14" ht="19.5" customHeight="1" x14ac:dyDescent="0.2">
      <c r="A28" s="40" t="s">
        <v>69</v>
      </c>
      <c r="B28" s="18">
        <v>250000</v>
      </c>
      <c r="C28" s="17" t="s">
        <v>70</v>
      </c>
      <c r="D28" s="1"/>
      <c r="E28" s="1"/>
    </row>
    <row r="29" spans="1:14" ht="21.75" customHeight="1" x14ac:dyDescent="0.2">
      <c r="A29" s="41" t="s">
        <v>37</v>
      </c>
      <c r="B29" s="39">
        <f>SUM(B22:B28)</f>
        <v>2000000</v>
      </c>
    </row>
  </sheetData>
  <mergeCells count="29">
    <mergeCell ref="D25:E25"/>
    <mergeCell ref="D26:E26"/>
    <mergeCell ref="D27:E27"/>
    <mergeCell ref="D28:E28"/>
    <mergeCell ref="A21:E21"/>
    <mergeCell ref="G21:N21"/>
    <mergeCell ref="D22:E22"/>
    <mergeCell ref="D23:E23"/>
    <mergeCell ref="D24:E24"/>
    <mergeCell ref="A10:B10"/>
    <mergeCell ref="D10:E10"/>
    <mergeCell ref="G10:H10"/>
    <mergeCell ref="J10:K10"/>
    <mergeCell ref="A13:N13"/>
    <mergeCell ref="A6:B6"/>
    <mergeCell ref="D6:E6"/>
    <mergeCell ref="G6:H6"/>
    <mergeCell ref="J6:K6"/>
    <mergeCell ref="A9:B9"/>
    <mergeCell ref="D9:E9"/>
    <mergeCell ref="G9:H9"/>
    <mergeCell ref="J9:K9"/>
    <mergeCell ref="A1:N1"/>
    <mergeCell ref="A2:N2"/>
    <mergeCell ref="A4:N4"/>
    <mergeCell ref="A5:B5"/>
    <mergeCell ref="D5:E5"/>
    <mergeCell ref="G5:H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M28"/>
  <sheetViews>
    <sheetView showGridLines="0" tabSelected="1" zoomScaleNormal="100" workbookViewId="0">
      <selection activeCell="B12" sqref="B12:C12"/>
    </sheetView>
  </sheetViews>
  <sheetFormatPr defaultColWidth="8.7421875" defaultRowHeight="15" x14ac:dyDescent="0.2"/>
  <cols>
    <col min="1" max="1" width="29.99609375" style="15" customWidth="1"/>
    <col min="2" max="9" width="13.98828125" style="15" customWidth="1"/>
    <col min="10" max="10" width="2.015625" style="15" customWidth="1"/>
    <col min="11" max="13" width="18.0234375" style="15" customWidth="1"/>
  </cols>
  <sheetData>
    <row r="1" spans="1:13" ht="36" customHeight="1" x14ac:dyDescent="0.2">
      <c r="A1" s="97" t="s">
        <v>71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36" customHeight="1" x14ac:dyDescent="0.2">
      <c r="A2" s="42" t="s">
        <v>72</v>
      </c>
      <c r="B2" s="98" t="s">
        <v>73</v>
      </c>
      <c r="C2" s="98"/>
      <c r="D2" s="99" t="s">
        <v>74</v>
      </c>
      <c r="E2" s="99"/>
      <c r="F2" s="100" t="s">
        <v>75</v>
      </c>
      <c r="G2" s="100"/>
      <c r="H2" s="101" t="s">
        <v>76</v>
      </c>
      <c r="I2" s="101"/>
    </row>
    <row r="3" spans="1:13" ht="21.75" customHeight="1" x14ac:dyDescent="0.2">
      <c r="A3" s="102" t="s">
        <v>77</v>
      </c>
      <c r="B3" s="102"/>
      <c r="C3" s="102"/>
      <c r="D3" s="102"/>
      <c r="E3" s="102"/>
      <c r="F3" s="102"/>
      <c r="G3" s="102"/>
      <c r="H3" s="102"/>
      <c r="I3" s="102"/>
    </row>
    <row r="4" spans="1:13" ht="21.75" customHeight="1" x14ac:dyDescent="0.2">
      <c r="A4" s="43" t="s">
        <v>78</v>
      </c>
      <c r="B4" s="103">
        <v>699</v>
      </c>
      <c r="C4" s="103"/>
      <c r="D4" s="104">
        <v>799</v>
      </c>
      <c r="E4" s="104"/>
      <c r="F4" s="105">
        <v>999</v>
      </c>
      <c r="G4" s="105"/>
      <c r="H4" s="106">
        <v>1199</v>
      </c>
      <c r="I4" s="106"/>
    </row>
    <row r="5" spans="1:13" ht="21.75" customHeight="1" x14ac:dyDescent="0.2">
      <c r="A5" s="43" t="s">
        <v>79</v>
      </c>
      <c r="B5" s="103">
        <v>629.1</v>
      </c>
      <c r="C5" s="103"/>
      <c r="D5" s="104">
        <v>719.1</v>
      </c>
      <c r="E5" s="104"/>
      <c r="F5" s="105">
        <v>899.1</v>
      </c>
      <c r="G5" s="105"/>
      <c r="H5" s="106">
        <v>1079.0999999999999</v>
      </c>
      <c r="I5" s="106"/>
      <c r="K5" s="44" t="s">
        <v>80</v>
      </c>
    </row>
    <row r="6" spans="1:13" ht="21.75" customHeight="1" x14ac:dyDescent="0.2">
      <c r="A6" s="102" t="s">
        <v>81</v>
      </c>
      <c r="B6" s="102"/>
      <c r="C6" s="102"/>
      <c r="D6" s="102"/>
      <c r="E6" s="102"/>
      <c r="F6" s="102"/>
      <c r="G6" s="102"/>
      <c r="H6" s="102"/>
      <c r="I6" s="102"/>
    </row>
    <row r="7" spans="1:13" ht="21.75" customHeight="1" x14ac:dyDescent="0.2">
      <c r="A7" s="43" t="s">
        <v>82</v>
      </c>
      <c r="B7" s="103">
        <v>140</v>
      </c>
      <c r="C7" s="103"/>
      <c r="D7" s="104">
        <v>160</v>
      </c>
      <c r="E7" s="104"/>
      <c r="F7" s="105">
        <v>220</v>
      </c>
      <c r="G7" s="105"/>
      <c r="H7" s="106">
        <v>250</v>
      </c>
      <c r="I7" s="106"/>
    </row>
    <row r="8" spans="1:13" ht="21.75" customHeight="1" x14ac:dyDescent="0.2">
      <c r="A8" s="43" t="s">
        <v>83</v>
      </c>
      <c r="B8" s="103">
        <v>35</v>
      </c>
      <c r="C8" s="103"/>
      <c r="D8" s="104">
        <v>40</v>
      </c>
      <c r="E8" s="104"/>
      <c r="F8" s="105">
        <v>45</v>
      </c>
      <c r="G8" s="105"/>
      <c r="H8" s="106">
        <v>55</v>
      </c>
      <c r="I8" s="106"/>
    </row>
    <row r="9" spans="1:13" ht="21.75" customHeight="1" x14ac:dyDescent="0.2">
      <c r="A9" s="43" t="s">
        <v>84</v>
      </c>
      <c r="B9" s="103">
        <v>60</v>
      </c>
      <c r="C9" s="103"/>
      <c r="D9" s="104">
        <v>60</v>
      </c>
      <c r="E9" s="104"/>
      <c r="F9" s="105">
        <v>65</v>
      </c>
      <c r="G9" s="105"/>
      <c r="H9" s="106">
        <v>65</v>
      </c>
      <c r="I9" s="106"/>
      <c r="K9" s="44" t="s">
        <v>85</v>
      </c>
    </row>
    <row r="10" spans="1:13" ht="21.75" customHeight="1" x14ac:dyDescent="0.2">
      <c r="A10" s="43" t="s">
        <v>86</v>
      </c>
      <c r="B10" s="103">
        <v>14</v>
      </c>
      <c r="C10" s="103"/>
      <c r="D10" s="104">
        <v>16</v>
      </c>
      <c r="E10" s="104"/>
      <c r="F10" s="105">
        <v>20</v>
      </c>
      <c r="G10" s="105"/>
      <c r="H10" s="106">
        <v>24</v>
      </c>
      <c r="I10" s="106"/>
    </row>
    <row r="11" spans="1:13" ht="21.75" customHeight="1" x14ac:dyDescent="0.2">
      <c r="A11" s="43" t="s">
        <v>87</v>
      </c>
      <c r="B11" s="103">
        <v>20</v>
      </c>
      <c r="C11" s="103"/>
      <c r="D11" s="104">
        <v>23</v>
      </c>
      <c r="E11" s="104"/>
      <c r="F11" s="105">
        <v>24</v>
      </c>
      <c r="G11" s="105"/>
      <c r="H11" s="106">
        <v>23</v>
      </c>
      <c r="I11" s="106"/>
      <c r="K11" s="44" t="s">
        <v>88</v>
      </c>
    </row>
    <row r="12" spans="1:13" ht="21.75" customHeight="1" x14ac:dyDescent="0.2">
      <c r="A12" s="43" t="s">
        <v>89</v>
      </c>
      <c r="B12" s="107"/>
      <c r="C12" s="107"/>
      <c r="D12" s="108">
        <v>299</v>
      </c>
      <c r="E12" s="108"/>
      <c r="F12" s="109">
        <v>374</v>
      </c>
      <c r="G12" s="109"/>
      <c r="H12" s="110">
        <v>417</v>
      </c>
      <c r="I12" s="110"/>
      <c r="K12" s="44"/>
    </row>
    <row r="13" spans="1:13" ht="21.75" customHeight="1" x14ac:dyDescent="0.2">
      <c r="A13" s="102" t="s">
        <v>90</v>
      </c>
      <c r="B13" s="102"/>
      <c r="C13" s="102"/>
      <c r="D13" s="102"/>
      <c r="E13" s="102"/>
      <c r="F13" s="102"/>
      <c r="G13" s="102"/>
      <c r="H13" s="102"/>
      <c r="I13" s="102"/>
    </row>
    <row r="14" spans="1:13" ht="21.75" customHeight="1" x14ac:dyDescent="0.2">
      <c r="A14" s="43" t="s">
        <v>91</v>
      </c>
      <c r="B14" s="107">
        <v>360</v>
      </c>
      <c r="C14" s="107"/>
      <c r="D14" s="108">
        <v>420</v>
      </c>
      <c r="E14" s="108"/>
      <c r="F14" s="109">
        <v>525</v>
      </c>
      <c r="G14" s="109"/>
      <c r="H14" s="110">
        <v>662</v>
      </c>
      <c r="I14" s="110"/>
      <c r="K14" s="44" t="s">
        <v>92</v>
      </c>
    </row>
    <row r="15" spans="1:13" ht="21.75" customHeight="1" x14ac:dyDescent="0.2">
      <c r="A15" s="43" t="s">
        <v>24</v>
      </c>
      <c r="B15" s="111">
        <v>0.57240502304880003</v>
      </c>
      <c r="C15" s="111"/>
      <c r="D15" s="112">
        <v>0.58420247531636804</v>
      </c>
      <c r="E15" s="112"/>
      <c r="F15" s="113">
        <v>0.58402847291736204</v>
      </c>
      <c r="G15" s="113"/>
      <c r="H15" s="114">
        <v>0.61356686127328297</v>
      </c>
      <c r="I15" s="114"/>
    </row>
    <row r="16" spans="1:13" ht="21.75" customHeight="1" x14ac:dyDescent="0.2">
      <c r="A16" s="43" t="s">
        <v>93</v>
      </c>
      <c r="B16" s="103">
        <v>320</v>
      </c>
      <c r="C16" s="103"/>
      <c r="D16" s="104">
        <v>340</v>
      </c>
      <c r="E16" s="104"/>
      <c r="F16" s="105">
        <v>380</v>
      </c>
      <c r="G16" s="105"/>
      <c r="H16" s="106">
        <v>420</v>
      </c>
      <c r="I16" s="106"/>
      <c r="K16" s="44" t="s">
        <v>94</v>
      </c>
    </row>
    <row r="17" spans="1:11" ht="21.75" customHeight="1" x14ac:dyDescent="0.2">
      <c r="A17" s="43" t="s">
        <v>95</v>
      </c>
      <c r="B17" s="107">
        <v>40</v>
      </c>
      <c r="C17" s="107"/>
      <c r="D17" s="108">
        <v>80</v>
      </c>
      <c r="E17" s="108"/>
      <c r="F17" s="109">
        <v>145</v>
      </c>
      <c r="G17" s="109"/>
      <c r="H17" s="110">
        <v>242</v>
      </c>
      <c r="I17" s="110"/>
      <c r="K17" s="44" t="s">
        <v>96</v>
      </c>
    </row>
    <row r="18" spans="1:11" ht="21.75" customHeight="1" x14ac:dyDescent="0.2">
      <c r="A18" s="43" t="s">
        <v>97</v>
      </c>
      <c r="B18" s="111">
        <v>6.3582896200922001E-2</v>
      </c>
      <c r="C18" s="111"/>
      <c r="D18" s="112">
        <v>0.111250173828397</v>
      </c>
      <c r="E18" s="112"/>
      <c r="F18" s="113">
        <v>0.16127238349460599</v>
      </c>
      <c r="G18" s="113"/>
      <c r="H18" s="114">
        <v>0.22426095820591199</v>
      </c>
      <c r="I18" s="114"/>
    </row>
    <row r="19" spans="1:11" ht="21.75" customHeight="1" x14ac:dyDescent="0.2">
      <c r="A19" s="102" t="s">
        <v>98</v>
      </c>
      <c r="B19" s="102"/>
      <c r="C19" s="102"/>
      <c r="D19" s="102"/>
      <c r="E19" s="102"/>
      <c r="F19" s="102"/>
      <c r="G19" s="102"/>
      <c r="H19" s="102"/>
      <c r="I19" s="102"/>
    </row>
    <row r="20" spans="1:11" ht="21.75" customHeight="1" x14ac:dyDescent="0.2">
      <c r="A20" s="43" t="s">
        <v>99</v>
      </c>
      <c r="B20" s="115">
        <v>0.03</v>
      </c>
      <c r="C20" s="115"/>
      <c r="D20" s="116">
        <v>0.03</v>
      </c>
      <c r="E20" s="116"/>
      <c r="F20" s="117">
        <v>2.5000000000000001E-2</v>
      </c>
      <c r="G20" s="117"/>
      <c r="H20" s="118">
        <v>0.02</v>
      </c>
      <c r="I20" s="118"/>
      <c r="K20" s="44" t="s">
        <v>100</v>
      </c>
    </row>
    <row r="21" spans="1:11" ht="21.75" customHeight="1" x14ac:dyDescent="0.2">
      <c r="A21" s="43" t="s">
        <v>101</v>
      </c>
      <c r="B21" s="115">
        <v>0.3</v>
      </c>
      <c r="C21" s="115"/>
      <c r="D21" s="116">
        <v>0.28000000000000003</v>
      </c>
      <c r="E21" s="116"/>
      <c r="F21" s="117">
        <v>0.32</v>
      </c>
      <c r="G21" s="117"/>
      <c r="H21" s="118">
        <v>0.35</v>
      </c>
      <c r="I21" s="118"/>
      <c r="K21" s="44" t="s">
        <v>102</v>
      </c>
    </row>
    <row r="22" spans="1:11" ht="21.75" customHeight="1" x14ac:dyDescent="0.2">
      <c r="A22" s="43" t="s">
        <v>103</v>
      </c>
      <c r="B22" s="107">
        <v>468</v>
      </c>
      <c r="C22" s="107"/>
      <c r="D22" s="108">
        <v>546</v>
      </c>
      <c r="E22" s="108"/>
      <c r="F22" s="109">
        <v>682</v>
      </c>
      <c r="G22" s="109"/>
      <c r="H22" s="110">
        <v>860</v>
      </c>
      <c r="I22" s="110"/>
      <c r="K22" s="44" t="s">
        <v>104</v>
      </c>
    </row>
    <row r="23" spans="1:11" ht="21.75" customHeight="1" x14ac:dyDescent="0.2">
      <c r="A23" s="43" t="s">
        <v>105</v>
      </c>
      <c r="B23" s="119">
        <v>1.46</v>
      </c>
      <c r="C23" s="119"/>
      <c r="D23" s="120">
        <v>1.61</v>
      </c>
      <c r="E23" s="120"/>
      <c r="F23" s="121">
        <v>1.79</v>
      </c>
      <c r="G23" s="121"/>
      <c r="H23" s="122">
        <v>2.0499999999999998</v>
      </c>
      <c r="I23" s="122"/>
      <c r="K23" s="44" t="s">
        <v>106</v>
      </c>
    </row>
    <row r="24" spans="1:11" ht="21.75" customHeight="1" x14ac:dyDescent="0.2">
      <c r="A24" s="43" t="s">
        <v>107</v>
      </c>
      <c r="B24" s="123">
        <v>0.9</v>
      </c>
      <c r="C24" s="123"/>
      <c r="D24" s="124">
        <v>0.8</v>
      </c>
      <c r="E24" s="124"/>
      <c r="F24" s="125">
        <v>0.7</v>
      </c>
      <c r="G24" s="125"/>
      <c r="H24" s="126">
        <v>0.6</v>
      </c>
      <c r="I24" s="126"/>
      <c r="K24" s="44" t="s">
        <v>108</v>
      </c>
    </row>
    <row r="25" spans="1:11" ht="21.75" customHeight="1" x14ac:dyDescent="0.2">
      <c r="A25" s="43" t="s">
        <v>109</v>
      </c>
      <c r="B25" s="119">
        <v>1.55</v>
      </c>
      <c r="C25" s="119"/>
      <c r="D25" s="120">
        <v>1.53</v>
      </c>
      <c r="E25" s="120"/>
      <c r="F25" s="121">
        <v>1.54</v>
      </c>
      <c r="G25" s="121"/>
      <c r="H25" s="122">
        <v>1.49</v>
      </c>
      <c r="I25" s="122"/>
      <c r="K25" s="44" t="s">
        <v>110</v>
      </c>
    </row>
    <row r="26" spans="1:11" ht="21.75" customHeight="1" x14ac:dyDescent="0.2">
      <c r="A26" s="102" t="s">
        <v>111</v>
      </c>
      <c r="B26" s="102"/>
      <c r="C26" s="102"/>
      <c r="D26" s="102"/>
      <c r="E26" s="102"/>
      <c r="F26" s="102"/>
      <c r="G26" s="102"/>
      <c r="H26" s="102"/>
      <c r="I26" s="102"/>
    </row>
    <row r="27" spans="1:11" ht="21.75" customHeight="1" x14ac:dyDescent="0.2">
      <c r="A27" s="43" t="s">
        <v>112</v>
      </c>
      <c r="B27" s="103">
        <v>25000</v>
      </c>
      <c r="C27" s="103"/>
      <c r="D27" s="104">
        <v>25000</v>
      </c>
      <c r="E27" s="104"/>
      <c r="F27" s="105">
        <v>25000</v>
      </c>
      <c r="G27" s="105"/>
      <c r="H27" s="106">
        <v>25000</v>
      </c>
      <c r="I27" s="106"/>
      <c r="K27" s="44" t="s">
        <v>113</v>
      </c>
    </row>
    <row r="28" spans="1:11" ht="21.75" customHeight="1" x14ac:dyDescent="0.2">
      <c r="A28" s="43" t="s">
        <v>114</v>
      </c>
      <c r="B28" s="127">
        <v>626</v>
      </c>
      <c r="C28" s="127"/>
      <c r="D28" s="128">
        <v>313</v>
      </c>
      <c r="E28" s="128"/>
      <c r="F28" s="129">
        <v>173</v>
      </c>
      <c r="G28" s="129"/>
      <c r="H28" s="130">
        <v>104</v>
      </c>
      <c r="I28" s="130"/>
      <c r="K28" s="44" t="s">
        <v>115</v>
      </c>
    </row>
  </sheetData>
  <mergeCells count="94">
    <mergeCell ref="B27:C27"/>
    <mergeCell ref="D27:E27"/>
    <mergeCell ref="F27:G27"/>
    <mergeCell ref="H27:I27"/>
    <mergeCell ref="B28:C28"/>
    <mergeCell ref="D28:E28"/>
    <mergeCell ref="F28:G28"/>
    <mergeCell ref="H28:I28"/>
    <mergeCell ref="B25:C25"/>
    <mergeCell ref="D25:E25"/>
    <mergeCell ref="F25:G25"/>
    <mergeCell ref="H25:I25"/>
    <mergeCell ref="A26:I26"/>
    <mergeCell ref="B23:C23"/>
    <mergeCell ref="D23:E23"/>
    <mergeCell ref="F23:G23"/>
    <mergeCell ref="H23:I23"/>
    <mergeCell ref="B24:C24"/>
    <mergeCell ref="D24:E24"/>
    <mergeCell ref="F24:G24"/>
    <mergeCell ref="H24:I24"/>
    <mergeCell ref="B21:C21"/>
    <mergeCell ref="D21:E21"/>
    <mergeCell ref="F21:G21"/>
    <mergeCell ref="H21:I21"/>
    <mergeCell ref="B22:C22"/>
    <mergeCell ref="D22:E22"/>
    <mergeCell ref="F22:G22"/>
    <mergeCell ref="H22:I22"/>
    <mergeCell ref="A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A13:I13"/>
    <mergeCell ref="B14:C14"/>
    <mergeCell ref="D14:E14"/>
    <mergeCell ref="F14:G14"/>
    <mergeCell ref="H14:I14"/>
    <mergeCell ref="B11:C11"/>
    <mergeCell ref="D11:E11"/>
    <mergeCell ref="F11:G11"/>
    <mergeCell ref="H11:I11"/>
    <mergeCell ref="B12:C12"/>
    <mergeCell ref="D12:E12"/>
    <mergeCell ref="F12:G12"/>
    <mergeCell ref="H12:I12"/>
    <mergeCell ref="B9:C9"/>
    <mergeCell ref="D9:E9"/>
    <mergeCell ref="F9:G9"/>
    <mergeCell ref="H9:I9"/>
    <mergeCell ref="B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A6:I6"/>
    <mergeCell ref="A3:I3"/>
    <mergeCell ref="B4:C4"/>
    <mergeCell ref="D4:E4"/>
    <mergeCell ref="F4:G4"/>
    <mergeCell ref="H4:I4"/>
    <mergeCell ref="A1:M1"/>
    <mergeCell ref="B2:C2"/>
    <mergeCell ref="D2:E2"/>
    <mergeCell ref="F2:G2"/>
    <mergeCell ref="H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P27"/>
  <sheetViews>
    <sheetView showGridLines="0" zoomScaleNormal="100" workbookViewId="0">
      <pane xSplit="1" ySplit="3" topLeftCell="B4" activePane="bottomRight" state="frozen"/>
      <selection pane="bottomLeft" activeCell="A4" sqref="A4"/>
      <selection pane="topRight" activeCell="B1" sqref="B1"/>
      <selection pane="bottomRight"/>
    </sheetView>
  </sheetViews>
  <sheetFormatPr defaultColWidth="8.7421875" defaultRowHeight="15" x14ac:dyDescent="0.2"/>
  <cols>
    <col min="1" max="1" width="32.015625" style="15" customWidth="1"/>
    <col min="2" max="14" width="13.046875" style="15" customWidth="1"/>
  </cols>
  <sheetData>
    <row r="1" spans="1:16" ht="36" customHeight="1" x14ac:dyDescent="0.2">
      <c r="A1" s="97" t="s">
        <v>116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3" spans="1:16" ht="24" customHeight="1" x14ac:dyDescent="0.2">
      <c r="A3" s="42" t="s">
        <v>117</v>
      </c>
      <c r="B3" s="16" t="s">
        <v>118</v>
      </c>
      <c r="C3" s="16" t="s">
        <v>119</v>
      </c>
      <c r="D3" s="16" t="s">
        <v>120</v>
      </c>
      <c r="E3" s="16" t="s">
        <v>121</v>
      </c>
      <c r="F3" s="16" t="s">
        <v>122</v>
      </c>
      <c r="G3" s="16" t="s">
        <v>123</v>
      </c>
      <c r="H3" s="16" t="s">
        <v>124</v>
      </c>
      <c r="I3" s="16" t="s">
        <v>125</v>
      </c>
      <c r="J3" s="16" t="s">
        <v>126</v>
      </c>
      <c r="K3" s="16" t="s">
        <v>127</v>
      </c>
      <c r="L3" s="16" t="s">
        <v>128</v>
      </c>
      <c r="M3" s="16" t="s">
        <v>129</v>
      </c>
      <c r="N3" s="45" t="s">
        <v>130</v>
      </c>
      <c r="O3" s="45" t="s">
        <v>131</v>
      </c>
    </row>
    <row r="4" spans="1:16" ht="21.75" customHeight="1" x14ac:dyDescent="0.2">
      <c r="A4" s="131" t="s">
        <v>132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</row>
    <row r="5" spans="1:16" ht="19.5" customHeight="1" x14ac:dyDescent="0.2">
      <c r="A5" s="40" t="s">
        <v>133</v>
      </c>
      <c r="B5" s="46">
        <v>80</v>
      </c>
      <c r="C5" s="46">
        <v>90</v>
      </c>
      <c r="D5" s="46">
        <v>105</v>
      </c>
      <c r="E5" s="46">
        <v>120</v>
      </c>
      <c r="F5" s="46">
        <v>145</v>
      </c>
      <c r="G5" s="46">
        <v>175</v>
      </c>
      <c r="H5" s="46">
        <v>210</v>
      </c>
      <c r="I5" s="46">
        <v>250</v>
      </c>
      <c r="J5" s="46">
        <v>295</v>
      </c>
      <c r="K5" s="46">
        <v>340</v>
      </c>
      <c r="L5" s="46">
        <v>390</v>
      </c>
      <c r="M5" s="46">
        <v>440</v>
      </c>
    </row>
    <row r="6" spans="1:16" ht="19.5" customHeight="1" x14ac:dyDescent="0.2">
      <c r="A6" s="40" t="s">
        <v>134</v>
      </c>
      <c r="B6" s="46">
        <v>70</v>
      </c>
      <c r="C6" s="46">
        <v>80</v>
      </c>
      <c r="D6" s="46">
        <v>95</v>
      </c>
      <c r="E6" s="46">
        <v>108</v>
      </c>
      <c r="F6" s="46">
        <v>130</v>
      </c>
      <c r="G6" s="46">
        <v>155</v>
      </c>
      <c r="H6" s="46">
        <v>185</v>
      </c>
      <c r="I6" s="46">
        <v>220</v>
      </c>
      <c r="J6" s="46">
        <v>260</v>
      </c>
      <c r="K6" s="46">
        <v>300</v>
      </c>
      <c r="L6" s="46">
        <v>345</v>
      </c>
      <c r="M6" s="46">
        <v>390</v>
      </c>
    </row>
    <row r="7" spans="1:16" ht="19.5" customHeight="1" x14ac:dyDescent="0.2">
      <c r="A7" s="40" t="s">
        <v>135</v>
      </c>
      <c r="B7" s="46">
        <v>60</v>
      </c>
      <c r="C7" s="46">
        <v>68</v>
      </c>
      <c r="D7" s="46">
        <v>80</v>
      </c>
      <c r="E7" s="46">
        <v>92</v>
      </c>
      <c r="F7" s="46">
        <v>110</v>
      </c>
      <c r="G7" s="46">
        <v>132</v>
      </c>
      <c r="H7" s="46">
        <v>158</v>
      </c>
      <c r="I7" s="46">
        <v>190</v>
      </c>
      <c r="J7" s="46">
        <v>225</v>
      </c>
      <c r="K7" s="46">
        <v>260</v>
      </c>
      <c r="L7" s="46">
        <v>298</v>
      </c>
      <c r="M7" s="46">
        <v>338</v>
      </c>
    </row>
    <row r="8" spans="1:16" ht="19.5" customHeight="1" x14ac:dyDescent="0.2">
      <c r="A8" s="40" t="s">
        <v>136</v>
      </c>
      <c r="B8" s="46">
        <v>50</v>
      </c>
      <c r="C8" s="46">
        <v>58</v>
      </c>
      <c r="D8" s="46">
        <v>68</v>
      </c>
      <c r="E8" s="46">
        <v>78</v>
      </c>
      <c r="F8" s="46">
        <v>92</v>
      </c>
      <c r="G8" s="46">
        <v>110</v>
      </c>
      <c r="H8" s="46">
        <v>132</v>
      </c>
      <c r="I8" s="46">
        <v>155</v>
      </c>
      <c r="J8" s="46">
        <v>184</v>
      </c>
      <c r="K8" s="46">
        <v>210</v>
      </c>
      <c r="L8" s="46">
        <v>242</v>
      </c>
      <c r="M8" s="46">
        <v>274</v>
      </c>
    </row>
    <row r="9" spans="1:16" ht="21.75" customHeight="1" x14ac:dyDescent="0.2">
      <c r="A9" s="47" t="s">
        <v>137</v>
      </c>
      <c r="B9" s="48">
        <v>208566</v>
      </c>
      <c r="C9" s="48">
        <v>237873</v>
      </c>
      <c r="D9" s="48">
        <v>279676</v>
      </c>
      <c r="E9" s="48">
        <v>320041</v>
      </c>
      <c r="F9" s="48">
        <v>382880</v>
      </c>
      <c r="G9" s="48">
        <v>458935</v>
      </c>
      <c r="H9" s="48">
        <v>549643</v>
      </c>
      <c r="I9" s="48">
        <v>653566</v>
      </c>
      <c r="J9" s="48">
        <v>773402</v>
      </c>
      <c r="K9" s="48">
        <v>890001</v>
      </c>
      <c r="L9" s="48">
        <v>1022512</v>
      </c>
      <c r="M9" s="48">
        <v>1156822</v>
      </c>
      <c r="N9" s="48">
        <v>1887971</v>
      </c>
      <c r="O9" s="48">
        <v>5045946</v>
      </c>
    </row>
    <row r="11" spans="1:16" ht="21.75" customHeight="1" x14ac:dyDescent="0.2">
      <c r="A11" s="132" t="s">
        <v>138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6" ht="19.5" customHeight="1" x14ac:dyDescent="0.2">
      <c r="A12" s="49" t="s">
        <v>139</v>
      </c>
      <c r="B12" s="31">
        <v>59150</v>
      </c>
      <c r="C12" s="31">
        <v>67460</v>
      </c>
      <c r="D12" s="31">
        <v>79315</v>
      </c>
      <c r="E12" s="31">
        <v>90770</v>
      </c>
      <c r="F12" s="31">
        <v>108585</v>
      </c>
      <c r="G12" s="31">
        <v>130155</v>
      </c>
      <c r="H12" s="31">
        <v>155880</v>
      </c>
      <c r="I12" s="31">
        <v>185375</v>
      </c>
      <c r="J12" s="31">
        <v>219370</v>
      </c>
      <c r="K12" s="31">
        <v>252450</v>
      </c>
      <c r="L12" s="31">
        <v>290030</v>
      </c>
      <c r="M12" s="31">
        <v>328140</v>
      </c>
      <c r="N12" s="31">
        <v>535435</v>
      </c>
      <c r="O12" s="31">
        <v>1431245</v>
      </c>
    </row>
    <row r="13" spans="1:16" ht="21.75" customHeight="1" x14ac:dyDescent="0.2">
      <c r="A13" s="47" t="s">
        <v>140</v>
      </c>
      <c r="B13" s="48">
        <v>149416</v>
      </c>
      <c r="C13" s="48">
        <v>170413</v>
      </c>
      <c r="D13" s="48">
        <v>200361</v>
      </c>
      <c r="E13" s="48">
        <v>229271</v>
      </c>
      <c r="F13" s="48">
        <v>274295</v>
      </c>
      <c r="G13" s="48">
        <v>328780</v>
      </c>
      <c r="H13" s="48">
        <v>393763</v>
      </c>
      <c r="I13" s="48">
        <v>468191</v>
      </c>
      <c r="J13" s="48">
        <v>554032</v>
      </c>
      <c r="K13" s="48">
        <v>637551</v>
      </c>
      <c r="L13" s="48">
        <v>732482</v>
      </c>
      <c r="M13" s="48">
        <v>828682</v>
      </c>
      <c r="N13" s="48">
        <v>1352536</v>
      </c>
      <c r="O13" s="48">
        <v>3614701</v>
      </c>
      <c r="P13" s="50">
        <f>N13+O13</f>
        <v>4967237</v>
      </c>
    </row>
    <row r="14" spans="1:16" ht="19.5" customHeight="1" x14ac:dyDescent="0.2">
      <c r="A14" s="43" t="s">
        <v>141</v>
      </c>
      <c r="B14" s="51">
        <v>0.71639672813402</v>
      </c>
      <c r="C14" s="51">
        <v>0.71640329083166199</v>
      </c>
      <c r="D14" s="51">
        <v>0.71640398175031095</v>
      </c>
      <c r="E14" s="51">
        <v>0.71638008880112203</v>
      </c>
      <c r="F14" s="51">
        <v>0.71639939406602604</v>
      </c>
      <c r="G14" s="51">
        <v>0.71639774695763003</v>
      </c>
      <c r="H14" s="51">
        <v>0.71639773452950395</v>
      </c>
      <c r="I14" s="51">
        <v>0.71636376433290605</v>
      </c>
      <c r="J14" s="51">
        <v>0.71635708208667703</v>
      </c>
      <c r="K14" s="51">
        <v>0.71634863331614196</v>
      </c>
      <c r="L14" s="51">
        <v>0.71635540707590695</v>
      </c>
      <c r="M14" s="51">
        <v>0.71634356884637396</v>
      </c>
    </row>
    <row r="16" spans="1:16" ht="21.75" customHeight="1" x14ac:dyDescent="0.2">
      <c r="A16" s="131" t="s">
        <v>142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</row>
    <row r="17" spans="1:15" ht="19.5" customHeight="1" x14ac:dyDescent="0.2">
      <c r="A17" s="40" t="s">
        <v>143</v>
      </c>
      <c r="B17" s="21">
        <v>50000</v>
      </c>
      <c r="C17" s="21">
        <v>55000</v>
      </c>
      <c r="D17" s="21">
        <v>60000</v>
      </c>
      <c r="E17" s="21">
        <v>65000</v>
      </c>
      <c r="F17" s="21">
        <v>75000</v>
      </c>
      <c r="G17" s="21">
        <v>90000</v>
      </c>
      <c r="H17" s="21">
        <v>100000</v>
      </c>
      <c r="I17" s="21">
        <v>110000</v>
      </c>
      <c r="J17" s="21">
        <v>120000</v>
      </c>
      <c r="K17" s="21">
        <v>130000</v>
      </c>
      <c r="L17" s="21">
        <v>140000</v>
      </c>
      <c r="M17" s="21">
        <v>150000</v>
      </c>
      <c r="N17" s="21">
        <v>395000</v>
      </c>
      <c r="O17" s="21">
        <v>750000</v>
      </c>
    </row>
    <row r="18" spans="1:15" ht="19.5" customHeight="1" x14ac:dyDescent="0.2">
      <c r="A18" s="49" t="s">
        <v>144</v>
      </c>
      <c r="B18" s="31">
        <v>16120</v>
      </c>
      <c r="C18" s="31">
        <v>18352</v>
      </c>
      <c r="D18" s="31">
        <v>21576</v>
      </c>
      <c r="E18" s="31">
        <v>24676</v>
      </c>
      <c r="F18" s="31">
        <v>29574</v>
      </c>
      <c r="G18" s="31">
        <v>35464</v>
      </c>
      <c r="H18" s="31">
        <v>42470</v>
      </c>
      <c r="I18" s="31">
        <v>50530</v>
      </c>
      <c r="J18" s="31">
        <v>59768</v>
      </c>
      <c r="K18" s="31">
        <v>68820</v>
      </c>
      <c r="L18" s="31">
        <v>79050</v>
      </c>
      <c r="M18" s="31">
        <v>89404</v>
      </c>
      <c r="N18" s="31">
        <v>145762</v>
      </c>
      <c r="O18" s="31">
        <v>390042</v>
      </c>
    </row>
    <row r="19" spans="1:15" ht="19.5" customHeight="1" x14ac:dyDescent="0.2">
      <c r="A19" s="52" t="s">
        <v>145</v>
      </c>
      <c r="B19" s="36">
        <v>4171</v>
      </c>
      <c r="C19" s="36">
        <v>4757</v>
      </c>
      <c r="D19" s="36">
        <v>5593</v>
      </c>
      <c r="E19" s="36">
        <v>6400</v>
      </c>
      <c r="F19" s="36">
        <v>7657</v>
      </c>
      <c r="G19" s="36">
        <v>9178</v>
      </c>
      <c r="H19" s="36">
        <v>10992</v>
      </c>
      <c r="I19" s="36">
        <v>13071</v>
      </c>
      <c r="J19" s="36">
        <v>15468</v>
      </c>
      <c r="K19" s="36">
        <v>17800</v>
      </c>
      <c r="L19" s="36">
        <v>20450</v>
      </c>
      <c r="M19" s="36">
        <v>23136</v>
      </c>
      <c r="N19" s="36">
        <v>37756</v>
      </c>
      <c r="O19" s="36">
        <v>100917</v>
      </c>
    </row>
    <row r="20" spans="1:15" ht="19.5" customHeight="1" x14ac:dyDescent="0.2">
      <c r="A20" s="53" t="s">
        <v>146</v>
      </c>
      <c r="B20" s="26">
        <v>30000</v>
      </c>
      <c r="C20" s="26">
        <v>30000</v>
      </c>
      <c r="D20" s="26">
        <v>35000</v>
      </c>
      <c r="E20" s="26">
        <v>35000</v>
      </c>
      <c r="F20" s="26">
        <v>40000</v>
      </c>
      <c r="G20" s="26">
        <v>45000</v>
      </c>
      <c r="H20" s="26">
        <v>45000</v>
      </c>
      <c r="I20" s="26">
        <v>50000</v>
      </c>
      <c r="J20" s="26">
        <v>50000</v>
      </c>
      <c r="K20" s="26">
        <v>55000</v>
      </c>
      <c r="L20" s="26">
        <v>55000</v>
      </c>
      <c r="M20" s="26">
        <v>60000</v>
      </c>
      <c r="N20" s="26">
        <v>215000</v>
      </c>
      <c r="O20" s="26">
        <v>315000</v>
      </c>
    </row>
    <row r="21" spans="1:15" ht="19.5" customHeight="1" x14ac:dyDescent="0.2">
      <c r="A21" s="40" t="s">
        <v>147</v>
      </c>
      <c r="B21" s="21">
        <v>80000</v>
      </c>
      <c r="C21" s="21">
        <v>80000</v>
      </c>
      <c r="D21" s="21">
        <v>80000</v>
      </c>
      <c r="E21" s="21">
        <v>80000</v>
      </c>
      <c r="F21" s="21">
        <v>80000</v>
      </c>
      <c r="G21" s="21">
        <v>80000</v>
      </c>
      <c r="H21" s="21">
        <v>80000</v>
      </c>
      <c r="I21" s="21">
        <v>80000</v>
      </c>
      <c r="J21" s="21">
        <v>80000</v>
      </c>
      <c r="K21" s="21">
        <v>80000</v>
      </c>
      <c r="L21" s="21">
        <v>80000</v>
      </c>
      <c r="M21" s="21">
        <v>80000</v>
      </c>
      <c r="N21" s="21">
        <v>480000</v>
      </c>
      <c r="O21" s="21">
        <v>480000</v>
      </c>
    </row>
    <row r="22" spans="1:15" ht="21.75" customHeight="1" x14ac:dyDescent="0.2">
      <c r="A22" s="54" t="s">
        <v>148</v>
      </c>
      <c r="B22" s="55">
        <v>180291</v>
      </c>
      <c r="C22" s="55">
        <v>188109</v>
      </c>
      <c r="D22" s="55">
        <v>202169</v>
      </c>
      <c r="E22" s="55">
        <v>211076</v>
      </c>
      <c r="F22" s="55">
        <v>232231</v>
      </c>
      <c r="G22" s="55">
        <v>259642</v>
      </c>
      <c r="H22" s="55">
        <v>278462</v>
      </c>
      <c r="I22" s="55">
        <v>303601</v>
      </c>
      <c r="J22" s="55">
        <v>325236</v>
      </c>
      <c r="K22" s="55">
        <v>351620</v>
      </c>
      <c r="L22" s="55">
        <v>374500</v>
      </c>
      <c r="M22" s="55">
        <v>402540</v>
      </c>
      <c r="N22" s="55">
        <v>1273518</v>
      </c>
      <c r="O22" s="55">
        <v>2035959</v>
      </c>
    </row>
    <row r="24" spans="1:15" ht="21.75" customHeight="1" x14ac:dyDescent="0.2">
      <c r="A24" s="133" t="s">
        <v>149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</row>
    <row r="25" spans="1:15" ht="24" customHeight="1" x14ac:dyDescent="0.2">
      <c r="A25" s="47" t="s">
        <v>150</v>
      </c>
      <c r="B25" s="56">
        <v>-30875</v>
      </c>
      <c r="C25" s="56">
        <v>-17696</v>
      </c>
      <c r="D25" s="56">
        <v>-1808</v>
      </c>
      <c r="E25" s="48">
        <v>18195</v>
      </c>
      <c r="F25" s="48">
        <v>42064</v>
      </c>
      <c r="G25" s="48">
        <v>69138</v>
      </c>
      <c r="H25" s="48">
        <v>115301</v>
      </c>
      <c r="I25" s="48">
        <v>164590</v>
      </c>
      <c r="J25" s="48">
        <v>228796</v>
      </c>
      <c r="K25" s="48">
        <v>285931</v>
      </c>
      <c r="L25" s="48">
        <v>357982</v>
      </c>
      <c r="M25" s="48">
        <v>426142</v>
      </c>
      <c r="N25" s="48">
        <v>79018</v>
      </c>
      <c r="O25" s="48">
        <v>1578742</v>
      </c>
    </row>
    <row r="26" spans="1:15" ht="19.5" customHeight="1" x14ac:dyDescent="0.2">
      <c r="A26" s="43" t="s">
        <v>151</v>
      </c>
      <c r="B26" s="51">
        <v>-0.1480346748751</v>
      </c>
      <c r="C26" s="51">
        <v>-7.4392638088391694E-2</v>
      </c>
      <c r="D26" s="51">
        <v>-6.4646233498762903E-3</v>
      </c>
      <c r="E26" s="51">
        <v>5.68520908258629E-2</v>
      </c>
      <c r="F26" s="51">
        <v>0.109862097785207</v>
      </c>
      <c r="G26" s="51">
        <v>0.15064878468628501</v>
      </c>
      <c r="H26" s="51">
        <v>0.20977434443811699</v>
      </c>
      <c r="I26" s="51">
        <v>0.25183378572324799</v>
      </c>
      <c r="J26" s="51">
        <v>0.29583062883209499</v>
      </c>
      <c r="K26" s="51">
        <v>0.32127042553884799</v>
      </c>
      <c r="L26" s="51">
        <v>0.35010053671741798</v>
      </c>
      <c r="M26" s="51">
        <v>0.36837300812052298</v>
      </c>
    </row>
    <row r="27" spans="1:15" ht="21.75" customHeight="1" x14ac:dyDescent="0.2">
      <c r="A27" s="57" t="s">
        <v>152</v>
      </c>
      <c r="B27" s="48">
        <v>1969125</v>
      </c>
      <c r="C27" s="48">
        <v>1951429</v>
      </c>
      <c r="D27" s="48">
        <v>1949621</v>
      </c>
      <c r="E27" s="48">
        <v>1967816</v>
      </c>
      <c r="F27" s="48">
        <v>2009880</v>
      </c>
      <c r="G27" s="48">
        <v>2079018</v>
      </c>
      <c r="H27" s="48">
        <v>2194319</v>
      </c>
      <c r="I27" s="48">
        <v>2358909</v>
      </c>
      <c r="J27" s="48">
        <v>2587705</v>
      </c>
      <c r="K27" s="48">
        <v>2873636</v>
      </c>
      <c r="L27" s="48">
        <v>3231618</v>
      </c>
      <c r="M27" s="48">
        <v>3657760</v>
      </c>
    </row>
  </sheetData>
  <mergeCells count="5">
    <mergeCell ref="A1:O1"/>
    <mergeCell ref="A4:O4"/>
    <mergeCell ref="A11:O11"/>
    <mergeCell ref="A16:O16"/>
    <mergeCell ref="A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39"/>
  <sheetViews>
    <sheetView showGridLines="0" zoomScaleNormal="100" workbookViewId="0">
      <pane xSplit="1" ySplit="3" topLeftCell="B4" activePane="bottomRight" state="frozen"/>
      <selection pane="bottomLeft" activeCell="A4" sqref="A4"/>
      <selection pane="topRight" activeCell="B1" sqref="B1"/>
      <selection pane="bottomRight"/>
    </sheetView>
  </sheetViews>
  <sheetFormatPr defaultColWidth="8.7421875" defaultRowHeight="15" x14ac:dyDescent="0.2"/>
  <cols>
    <col min="1" max="1" width="29.99609375" style="15" customWidth="1"/>
    <col min="2" max="14" width="13.046875" style="15" customWidth="1"/>
  </cols>
  <sheetData>
    <row r="1" spans="1:14" ht="36" customHeight="1" x14ac:dyDescent="0.2">
      <c r="A1" s="97" t="s">
        <v>153</v>
      </c>
      <c r="B1" s="97"/>
      <c r="C1" s="97"/>
      <c r="D1" s="97"/>
      <c r="E1" s="97"/>
      <c r="F1" s="97"/>
      <c r="G1" s="97"/>
      <c r="H1" s="97"/>
      <c r="I1" s="97"/>
      <c r="J1" s="97"/>
    </row>
    <row r="3" spans="1:14" ht="24" customHeight="1" x14ac:dyDescent="0.2">
      <c r="A3" s="42" t="s">
        <v>72</v>
      </c>
      <c r="B3" s="16" t="s">
        <v>118</v>
      </c>
      <c r="C3" s="16" t="s">
        <v>119</v>
      </c>
      <c r="D3" s="16" t="s">
        <v>120</v>
      </c>
      <c r="E3" s="16" t="s">
        <v>121</v>
      </c>
      <c r="F3" s="16" t="s">
        <v>122</v>
      </c>
      <c r="G3" s="16" t="s">
        <v>123</v>
      </c>
      <c r="H3" s="16" t="s">
        <v>124</v>
      </c>
      <c r="I3" s="16" t="s">
        <v>125</v>
      </c>
      <c r="J3" s="16" t="s">
        <v>126</v>
      </c>
      <c r="K3" s="16" t="s">
        <v>127</v>
      </c>
      <c r="L3" s="16" t="s">
        <v>128</v>
      </c>
      <c r="M3" s="16" t="s">
        <v>129</v>
      </c>
    </row>
    <row r="4" spans="1:14" ht="25.5" customHeight="1" x14ac:dyDescent="0.2">
      <c r="A4" s="134" t="s">
        <v>154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spans="1:14" ht="19.5" customHeight="1" x14ac:dyDescent="0.2">
      <c r="A5" s="40" t="s">
        <v>155</v>
      </c>
      <c r="B5" s="58">
        <v>2000</v>
      </c>
      <c r="C5" s="58">
        <v>2500</v>
      </c>
      <c r="D5" s="58">
        <v>3200</v>
      </c>
      <c r="E5" s="58">
        <v>4000</v>
      </c>
      <c r="F5" s="58">
        <v>5000</v>
      </c>
      <c r="G5" s="58">
        <v>6200</v>
      </c>
      <c r="H5" s="58">
        <v>7500</v>
      </c>
      <c r="I5" s="58">
        <v>9000</v>
      </c>
      <c r="J5" s="58">
        <v>10500</v>
      </c>
      <c r="K5" s="58">
        <v>12000</v>
      </c>
      <c r="L5" s="58">
        <v>13500</v>
      </c>
      <c r="M5" s="58">
        <v>15000</v>
      </c>
    </row>
    <row r="6" spans="1:14" ht="19.5" customHeight="1" x14ac:dyDescent="0.2">
      <c r="A6" s="53" t="s">
        <v>156</v>
      </c>
      <c r="B6" s="24">
        <v>1.2999999999999999E-2</v>
      </c>
      <c r="C6" s="24">
        <v>1.4E-2</v>
      </c>
      <c r="D6" s="24">
        <v>1.4999999999999999E-2</v>
      </c>
      <c r="E6" s="24">
        <v>1.6E-2</v>
      </c>
      <c r="F6" s="24">
        <v>1.7000000000000001E-2</v>
      </c>
      <c r="G6" s="24">
        <v>1.7999999999999999E-2</v>
      </c>
      <c r="H6" s="24">
        <v>1.9E-2</v>
      </c>
      <c r="I6" s="24">
        <v>0.02</v>
      </c>
      <c r="J6" s="24">
        <v>2.1000000000000001E-2</v>
      </c>
      <c r="K6" s="24">
        <v>2.1999999999999999E-2</v>
      </c>
      <c r="L6" s="24">
        <v>2.3E-2</v>
      </c>
      <c r="M6" s="24">
        <v>2.4E-2</v>
      </c>
    </row>
    <row r="7" spans="1:14" ht="19.5" customHeight="1" x14ac:dyDescent="0.2">
      <c r="A7" s="49" t="s">
        <v>157</v>
      </c>
      <c r="B7" s="59">
        <v>260</v>
      </c>
      <c r="C7" s="59">
        <v>296</v>
      </c>
      <c r="D7" s="59">
        <v>348</v>
      </c>
      <c r="E7" s="59">
        <v>398</v>
      </c>
      <c r="F7" s="59">
        <v>477</v>
      </c>
      <c r="G7" s="59">
        <v>572</v>
      </c>
      <c r="H7" s="59">
        <v>685</v>
      </c>
      <c r="I7" s="59">
        <v>815</v>
      </c>
      <c r="J7" s="59">
        <v>964</v>
      </c>
      <c r="K7" s="59">
        <v>1110</v>
      </c>
      <c r="L7" s="59">
        <v>1275</v>
      </c>
      <c r="M7" s="59">
        <v>1442</v>
      </c>
    </row>
    <row r="8" spans="1:14" ht="19.5" customHeight="1" x14ac:dyDescent="0.2">
      <c r="A8" s="52" t="s">
        <v>158</v>
      </c>
      <c r="B8" s="36">
        <v>350</v>
      </c>
      <c r="C8" s="36">
        <v>345</v>
      </c>
      <c r="D8" s="36">
        <v>338</v>
      </c>
      <c r="E8" s="36">
        <v>330</v>
      </c>
      <c r="F8" s="36">
        <v>320</v>
      </c>
      <c r="G8" s="36">
        <v>310</v>
      </c>
      <c r="H8" s="36">
        <v>305</v>
      </c>
      <c r="I8" s="36">
        <v>298</v>
      </c>
      <c r="J8" s="36">
        <v>290</v>
      </c>
      <c r="K8" s="36">
        <v>285</v>
      </c>
      <c r="L8" s="36">
        <v>280</v>
      </c>
      <c r="M8" s="36">
        <v>275</v>
      </c>
    </row>
    <row r="9" spans="1:14" ht="19.5" customHeight="1" x14ac:dyDescent="0.2">
      <c r="A9" s="40" t="s">
        <v>159</v>
      </c>
      <c r="B9" s="21">
        <v>50000</v>
      </c>
      <c r="C9" s="21">
        <v>55000</v>
      </c>
      <c r="D9" s="21">
        <v>60000</v>
      </c>
      <c r="E9" s="21">
        <v>65000</v>
      </c>
      <c r="F9" s="21">
        <v>75000</v>
      </c>
      <c r="G9" s="21">
        <v>90000</v>
      </c>
      <c r="H9" s="21">
        <v>100000</v>
      </c>
      <c r="I9" s="21">
        <v>110000</v>
      </c>
      <c r="J9" s="21">
        <v>120000</v>
      </c>
      <c r="K9" s="21">
        <v>130000</v>
      </c>
      <c r="L9" s="21">
        <v>140000</v>
      </c>
      <c r="M9" s="21">
        <v>150000</v>
      </c>
    </row>
    <row r="10" spans="1:14" ht="19.5" customHeight="1" x14ac:dyDescent="0.2">
      <c r="A10" s="53" t="s">
        <v>160</v>
      </c>
      <c r="B10" s="60">
        <v>4.17</v>
      </c>
      <c r="C10" s="60">
        <v>4.32</v>
      </c>
      <c r="D10" s="60">
        <v>4.66</v>
      </c>
      <c r="E10" s="60">
        <v>4.92</v>
      </c>
      <c r="F10" s="60">
        <v>5.1100000000000003</v>
      </c>
      <c r="G10" s="60">
        <v>5.0999999999999996</v>
      </c>
      <c r="H10" s="60">
        <v>5.5</v>
      </c>
      <c r="I10" s="60">
        <v>5.94</v>
      </c>
      <c r="J10" s="60">
        <v>6.45</v>
      </c>
      <c r="K10" s="60">
        <v>6.85</v>
      </c>
      <c r="L10" s="60">
        <v>7.3</v>
      </c>
      <c r="M10" s="60">
        <v>7.71</v>
      </c>
    </row>
    <row r="12" spans="1:14" ht="25.5" customHeight="1" x14ac:dyDescent="0.2">
      <c r="A12" s="135" t="s">
        <v>161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</row>
    <row r="13" spans="1:14" ht="19.5" customHeight="1" x14ac:dyDescent="0.2">
      <c r="A13" s="40" t="s">
        <v>162</v>
      </c>
      <c r="B13" s="21">
        <v>208566</v>
      </c>
      <c r="C13" s="21">
        <v>237873</v>
      </c>
      <c r="D13" s="21">
        <v>279676</v>
      </c>
      <c r="E13" s="21">
        <v>320041</v>
      </c>
      <c r="F13" s="21">
        <v>382880</v>
      </c>
      <c r="G13" s="21">
        <v>458935</v>
      </c>
      <c r="H13" s="21">
        <v>549643</v>
      </c>
      <c r="I13" s="21">
        <v>653566</v>
      </c>
      <c r="J13" s="21">
        <v>773402</v>
      </c>
      <c r="K13" s="21">
        <v>890001</v>
      </c>
      <c r="L13" s="21">
        <v>1022512</v>
      </c>
      <c r="M13" s="21">
        <v>1156822</v>
      </c>
    </row>
    <row r="14" spans="1:14" ht="19.5" customHeight="1" x14ac:dyDescent="0.2">
      <c r="A14" s="53" t="s">
        <v>163</v>
      </c>
      <c r="B14" s="26">
        <v>802</v>
      </c>
      <c r="C14" s="26">
        <v>803</v>
      </c>
      <c r="D14" s="26">
        <v>803</v>
      </c>
      <c r="E14" s="26">
        <v>804</v>
      </c>
      <c r="F14" s="26">
        <v>802</v>
      </c>
      <c r="G14" s="26">
        <v>802</v>
      </c>
      <c r="H14" s="26">
        <v>802</v>
      </c>
      <c r="I14" s="26">
        <v>801</v>
      </c>
      <c r="J14" s="26">
        <v>802</v>
      </c>
      <c r="K14" s="26">
        <v>801</v>
      </c>
      <c r="L14" s="26">
        <v>801</v>
      </c>
      <c r="M14" s="26">
        <v>802</v>
      </c>
    </row>
    <row r="15" spans="1:14" ht="19.5" customHeight="1" x14ac:dyDescent="0.2">
      <c r="A15" s="49" t="s">
        <v>164</v>
      </c>
      <c r="B15" s="61">
        <v>104.3</v>
      </c>
      <c r="C15" s="61">
        <v>95.1</v>
      </c>
      <c r="D15" s="61">
        <v>87.4</v>
      </c>
      <c r="E15" s="61">
        <v>80</v>
      </c>
      <c r="F15" s="61">
        <v>76.599999999999994</v>
      </c>
      <c r="G15" s="61">
        <v>74</v>
      </c>
      <c r="H15" s="61">
        <v>73.3</v>
      </c>
      <c r="I15" s="61">
        <v>72.599999999999994</v>
      </c>
      <c r="J15" s="61">
        <v>73.7</v>
      </c>
      <c r="K15" s="61">
        <v>74.2</v>
      </c>
      <c r="L15" s="61">
        <v>75.7</v>
      </c>
      <c r="M15" s="61">
        <v>77.099999999999994</v>
      </c>
    </row>
    <row r="16" spans="1:14" ht="19.5" customHeight="1" x14ac:dyDescent="0.2">
      <c r="A16" s="52" t="s">
        <v>165</v>
      </c>
      <c r="B16" s="34">
        <v>0</v>
      </c>
      <c r="C16" s="34">
        <v>0.14099999999999999</v>
      </c>
      <c r="D16" s="34">
        <v>0.17599999999999999</v>
      </c>
      <c r="E16" s="34">
        <v>0.14399999999999999</v>
      </c>
      <c r="F16" s="34">
        <v>0.19600000000000001</v>
      </c>
      <c r="G16" s="34">
        <v>0.19900000000000001</v>
      </c>
      <c r="H16" s="34">
        <v>0.19800000000000001</v>
      </c>
      <c r="I16" s="34">
        <v>0.189</v>
      </c>
      <c r="J16" s="34">
        <v>0.183</v>
      </c>
      <c r="K16" s="34">
        <v>0.151</v>
      </c>
      <c r="L16" s="34">
        <v>0.14899999999999999</v>
      </c>
      <c r="M16" s="34">
        <v>0.13100000000000001</v>
      </c>
    </row>
    <row r="18" spans="1:14" ht="25.5" customHeight="1" x14ac:dyDescent="0.2">
      <c r="A18" s="136" t="s">
        <v>166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</row>
    <row r="19" spans="1:14" ht="19.5" customHeight="1" x14ac:dyDescent="0.2">
      <c r="A19" s="40" t="s">
        <v>167</v>
      </c>
      <c r="B19" s="58">
        <v>221</v>
      </c>
      <c r="C19" s="58">
        <v>251</v>
      </c>
      <c r="D19" s="58">
        <v>295</v>
      </c>
      <c r="E19" s="58">
        <v>338</v>
      </c>
      <c r="F19" s="58">
        <v>405</v>
      </c>
      <c r="G19" s="58">
        <v>486</v>
      </c>
      <c r="H19" s="58">
        <v>582</v>
      </c>
      <c r="I19" s="58">
        <v>692</v>
      </c>
      <c r="J19" s="58">
        <v>819</v>
      </c>
      <c r="K19" s="58">
        <v>943</v>
      </c>
      <c r="L19" s="58">
        <v>1083</v>
      </c>
      <c r="M19" s="58">
        <v>1225</v>
      </c>
    </row>
    <row r="20" spans="1:14" ht="19.5" customHeight="1" x14ac:dyDescent="0.2">
      <c r="A20" s="53" t="s">
        <v>168</v>
      </c>
      <c r="B20" s="62">
        <v>39</v>
      </c>
      <c r="C20" s="62">
        <v>44</v>
      </c>
      <c r="D20" s="62">
        <v>52</v>
      </c>
      <c r="E20" s="62">
        <v>59</v>
      </c>
      <c r="F20" s="62">
        <v>71</v>
      </c>
      <c r="G20" s="62">
        <v>85</v>
      </c>
      <c r="H20" s="62">
        <v>102</v>
      </c>
      <c r="I20" s="62">
        <v>122</v>
      </c>
      <c r="J20" s="62">
        <v>144</v>
      </c>
      <c r="K20" s="62">
        <v>166</v>
      </c>
      <c r="L20" s="62">
        <v>191</v>
      </c>
      <c r="M20" s="62">
        <v>216</v>
      </c>
    </row>
    <row r="21" spans="1:14" ht="19.5" customHeight="1" x14ac:dyDescent="0.2">
      <c r="A21" s="49" t="s">
        <v>169</v>
      </c>
      <c r="B21" s="29">
        <v>0.1</v>
      </c>
      <c r="C21" s="29">
        <v>0.12</v>
      </c>
      <c r="D21" s="29">
        <v>0.13</v>
      </c>
      <c r="E21" s="29">
        <v>0.14000000000000001</v>
      </c>
      <c r="F21" s="29">
        <v>0.15</v>
      </c>
      <c r="G21" s="29">
        <v>0.16</v>
      </c>
      <c r="H21" s="29">
        <v>0.17</v>
      </c>
      <c r="I21" s="29">
        <v>0.18</v>
      </c>
      <c r="J21" s="29">
        <v>0.19</v>
      </c>
      <c r="K21" s="29">
        <v>0.2</v>
      </c>
      <c r="L21" s="29">
        <v>0.21</v>
      </c>
      <c r="M21" s="29">
        <v>0.22</v>
      </c>
    </row>
    <row r="22" spans="1:14" ht="19.5" customHeight="1" x14ac:dyDescent="0.2">
      <c r="A22" s="52" t="s">
        <v>170</v>
      </c>
      <c r="B22" s="36">
        <v>1800</v>
      </c>
      <c r="C22" s="36">
        <v>1850</v>
      </c>
      <c r="D22" s="36">
        <v>1880</v>
      </c>
      <c r="E22" s="36">
        <v>1900</v>
      </c>
      <c r="F22" s="36">
        <v>1920</v>
      </c>
      <c r="G22" s="36">
        <v>1950</v>
      </c>
      <c r="H22" s="36">
        <v>1980</v>
      </c>
      <c r="I22" s="36">
        <v>2000</v>
      </c>
      <c r="J22" s="36">
        <v>2020</v>
      </c>
      <c r="K22" s="36">
        <v>2050</v>
      </c>
      <c r="L22" s="36">
        <v>2080</v>
      </c>
      <c r="M22" s="36">
        <v>2100</v>
      </c>
    </row>
    <row r="23" spans="1:14" ht="19.5" customHeight="1" x14ac:dyDescent="0.2">
      <c r="A23" s="40" t="s">
        <v>171</v>
      </c>
      <c r="B23" s="63">
        <v>5.14</v>
      </c>
      <c r="C23" s="63">
        <v>5.36</v>
      </c>
      <c r="D23" s="63">
        <v>5.56</v>
      </c>
      <c r="E23" s="63">
        <v>5.76</v>
      </c>
      <c r="F23" s="63">
        <v>6</v>
      </c>
      <c r="G23" s="63">
        <v>6.29</v>
      </c>
      <c r="H23" s="63">
        <v>6.49</v>
      </c>
      <c r="I23" s="63">
        <v>6.71</v>
      </c>
      <c r="J23" s="63">
        <v>6.97</v>
      </c>
      <c r="K23" s="63">
        <v>7.19</v>
      </c>
      <c r="L23" s="63">
        <v>7.43</v>
      </c>
      <c r="M23" s="63">
        <v>7.64</v>
      </c>
    </row>
    <row r="24" spans="1:14" ht="19.5" customHeight="1" x14ac:dyDescent="0.2">
      <c r="A24" s="53" t="s">
        <v>172</v>
      </c>
      <c r="B24" s="24">
        <v>0.08</v>
      </c>
      <c r="C24" s="24">
        <v>0.08</v>
      </c>
      <c r="D24" s="24">
        <v>7.4999999999999997E-2</v>
      </c>
      <c r="E24" s="24">
        <v>7.4999999999999997E-2</v>
      </c>
      <c r="F24" s="24">
        <v>7.0000000000000007E-2</v>
      </c>
      <c r="G24" s="24">
        <v>7.0000000000000007E-2</v>
      </c>
      <c r="H24" s="24">
        <v>6.5000000000000002E-2</v>
      </c>
      <c r="I24" s="24">
        <v>6.5000000000000002E-2</v>
      </c>
      <c r="J24" s="24">
        <v>0.06</v>
      </c>
      <c r="K24" s="24">
        <v>0.06</v>
      </c>
      <c r="L24" s="24">
        <v>5.5E-2</v>
      </c>
      <c r="M24" s="24">
        <v>0.05</v>
      </c>
    </row>
    <row r="26" spans="1:14" ht="25.5" customHeight="1" x14ac:dyDescent="0.2">
      <c r="A26" s="137" t="s">
        <v>173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</row>
    <row r="27" spans="1:14" ht="19.5" customHeight="1" x14ac:dyDescent="0.2">
      <c r="A27" s="40" t="s">
        <v>174</v>
      </c>
      <c r="B27" s="21">
        <v>59150</v>
      </c>
      <c r="C27" s="21">
        <v>67460</v>
      </c>
      <c r="D27" s="21">
        <v>79315</v>
      </c>
      <c r="E27" s="21">
        <v>90770</v>
      </c>
      <c r="F27" s="21">
        <v>108585</v>
      </c>
      <c r="G27" s="21">
        <v>130155</v>
      </c>
      <c r="H27" s="21">
        <v>155880</v>
      </c>
      <c r="I27" s="21">
        <v>185375</v>
      </c>
      <c r="J27" s="21">
        <v>219370</v>
      </c>
      <c r="K27" s="21">
        <v>252450</v>
      </c>
      <c r="L27" s="21">
        <v>290030</v>
      </c>
      <c r="M27" s="21">
        <v>328140</v>
      </c>
    </row>
    <row r="28" spans="1:14" ht="19.5" customHeight="1" x14ac:dyDescent="0.2">
      <c r="A28" s="53" t="s">
        <v>141</v>
      </c>
      <c r="B28" s="24">
        <v>0.71639672813402</v>
      </c>
      <c r="C28" s="24">
        <v>0.71640329083166199</v>
      </c>
      <c r="D28" s="24">
        <v>0.71640398175031095</v>
      </c>
      <c r="E28" s="24">
        <v>0.71638008880112203</v>
      </c>
      <c r="F28" s="24">
        <v>0.71639939406602604</v>
      </c>
      <c r="G28" s="24">
        <v>0.71639774695763003</v>
      </c>
      <c r="H28" s="24">
        <v>0.71639773452950395</v>
      </c>
      <c r="I28" s="24">
        <v>0.71636376433290605</v>
      </c>
      <c r="J28" s="24">
        <v>0.71635708208667703</v>
      </c>
      <c r="K28" s="24">
        <v>0.71634863331614196</v>
      </c>
      <c r="L28" s="24">
        <v>0.71635540707590695</v>
      </c>
      <c r="M28" s="24">
        <v>0.71634356884637396</v>
      </c>
    </row>
    <row r="29" spans="1:14" ht="19.5" customHeight="1" x14ac:dyDescent="0.2">
      <c r="A29" s="49" t="s">
        <v>175</v>
      </c>
      <c r="B29" s="31">
        <v>180291</v>
      </c>
      <c r="C29" s="31">
        <v>188109</v>
      </c>
      <c r="D29" s="31">
        <v>202169</v>
      </c>
      <c r="E29" s="31">
        <v>211076</v>
      </c>
      <c r="F29" s="31">
        <v>232231</v>
      </c>
      <c r="G29" s="31">
        <v>259642</v>
      </c>
      <c r="H29" s="31">
        <v>278462</v>
      </c>
      <c r="I29" s="31">
        <v>303601</v>
      </c>
      <c r="J29" s="31">
        <v>325236</v>
      </c>
      <c r="K29" s="31">
        <v>351620</v>
      </c>
      <c r="L29" s="31">
        <v>374500</v>
      </c>
      <c r="M29" s="31">
        <v>402540</v>
      </c>
    </row>
    <row r="30" spans="1:14" ht="19.5" customHeight="1" x14ac:dyDescent="0.2">
      <c r="A30" s="52" t="s">
        <v>176</v>
      </c>
      <c r="B30" s="36">
        <v>-30875</v>
      </c>
      <c r="C30" s="36">
        <v>-17696</v>
      </c>
      <c r="D30" s="36">
        <v>-1808</v>
      </c>
      <c r="E30" s="36">
        <v>18195</v>
      </c>
      <c r="F30" s="36">
        <v>42064</v>
      </c>
      <c r="G30" s="36">
        <v>69138</v>
      </c>
      <c r="H30" s="36">
        <v>115301</v>
      </c>
      <c r="I30" s="36">
        <v>164590</v>
      </c>
      <c r="J30" s="36">
        <v>228796</v>
      </c>
      <c r="K30" s="36">
        <v>285931</v>
      </c>
      <c r="L30" s="36">
        <v>357982</v>
      </c>
      <c r="M30" s="36">
        <v>426142</v>
      </c>
    </row>
    <row r="31" spans="1:14" ht="19.5" customHeight="1" x14ac:dyDescent="0.2">
      <c r="A31" s="40" t="s">
        <v>151</v>
      </c>
      <c r="B31" s="19">
        <v>-0.1480346748751</v>
      </c>
      <c r="C31" s="19">
        <v>-7.4392638088391694E-2</v>
      </c>
      <c r="D31" s="19">
        <v>-6.4646233498762903E-3</v>
      </c>
      <c r="E31" s="19">
        <v>5.68520908258629E-2</v>
      </c>
      <c r="F31" s="19">
        <v>0.109862097785207</v>
      </c>
      <c r="G31" s="19">
        <v>0.15064878468628501</v>
      </c>
      <c r="H31" s="19">
        <v>0.20977434443811699</v>
      </c>
      <c r="I31" s="19">
        <v>0.25183378572324799</v>
      </c>
      <c r="J31" s="19">
        <v>0.29583062883209499</v>
      </c>
      <c r="K31" s="19">
        <v>0.32127042553884799</v>
      </c>
      <c r="L31" s="19">
        <v>0.35010053671741798</v>
      </c>
      <c r="M31" s="19">
        <v>0.36837300812052298</v>
      </c>
    </row>
    <row r="32" spans="1:14" ht="19.5" customHeight="1" x14ac:dyDescent="0.2">
      <c r="A32" s="53" t="s">
        <v>177</v>
      </c>
      <c r="B32" s="26">
        <v>30875</v>
      </c>
      <c r="C32" s="26">
        <v>17696</v>
      </c>
      <c r="D32" s="26">
        <v>1808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</row>
    <row r="34" spans="1:14" ht="25.5" customHeight="1" x14ac:dyDescent="0.2">
      <c r="A34" s="134" t="s">
        <v>178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</row>
    <row r="35" spans="1:14" ht="19.5" customHeight="1" x14ac:dyDescent="0.2">
      <c r="A35" s="40" t="s">
        <v>179</v>
      </c>
      <c r="B35" s="19">
        <v>0.04</v>
      </c>
      <c r="C35" s="19">
        <v>3.7999999999999999E-2</v>
      </c>
      <c r="D35" s="19">
        <v>3.5999999999999997E-2</v>
      </c>
      <c r="E35" s="19">
        <v>3.4000000000000002E-2</v>
      </c>
      <c r="F35" s="19">
        <v>3.3000000000000002E-2</v>
      </c>
      <c r="G35" s="19">
        <v>3.2000000000000001E-2</v>
      </c>
      <c r="H35" s="19">
        <v>3.1E-2</v>
      </c>
      <c r="I35" s="19">
        <v>0.03</v>
      </c>
      <c r="J35" s="19">
        <v>0.03</v>
      </c>
      <c r="K35" s="19">
        <v>2.9000000000000001E-2</v>
      </c>
      <c r="L35" s="19">
        <v>2.8000000000000001E-2</v>
      </c>
      <c r="M35" s="19">
        <v>2.7E-2</v>
      </c>
    </row>
    <row r="36" spans="1:14" ht="19.5" customHeight="1" x14ac:dyDescent="0.2">
      <c r="A36" s="53" t="s">
        <v>180</v>
      </c>
      <c r="B36" s="24">
        <v>0.72</v>
      </c>
      <c r="C36" s="24">
        <v>0.71</v>
      </c>
      <c r="D36" s="24">
        <v>0.7</v>
      </c>
      <c r="E36" s="24">
        <v>0.69</v>
      </c>
      <c r="F36" s="24">
        <v>0.68</v>
      </c>
      <c r="G36" s="24">
        <v>0.67</v>
      </c>
      <c r="H36" s="24">
        <v>0.66</v>
      </c>
      <c r="I36" s="24">
        <v>0.65</v>
      </c>
      <c r="J36" s="24">
        <v>0.64</v>
      </c>
      <c r="K36" s="24">
        <v>0.63</v>
      </c>
      <c r="L36" s="24">
        <v>0.62</v>
      </c>
      <c r="M36" s="24">
        <v>0.61</v>
      </c>
    </row>
    <row r="37" spans="1:14" ht="19.5" customHeight="1" x14ac:dyDescent="0.2">
      <c r="A37" s="49" t="s">
        <v>181</v>
      </c>
      <c r="B37" s="29">
        <v>0.9</v>
      </c>
      <c r="C37" s="29">
        <v>0.91</v>
      </c>
      <c r="D37" s="29">
        <v>0.92</v>
      </c>
      <c r="E37" s="29">
        <v>0.93</v>
      </c>
      <c r="F37" s="29">
        <v>0.94</v>
      </c>
      <c r="G37" s="29">
        <v>0.94</v>
      </c>
      <c r="H37" s="29">
        <v>0.95</v>
      </c>
      <c r="I37" s="29">
        <v>0.95</v>
      </c>
      <c r="J37" s="29">
        <v>0.96</v>
      </c>
      <c r="K37" s="29">
        <v>0.96</v>
      </c>
      <c r="L37" s="29">
        <v>0.97</v>
      </c>
      <c r="M37" s="29">
        <v>0.97</v>
      </c>
    </row>
    <row r="38" spans="1:14" ht="19.5" customHeight="1" x14ac:dyDescent="0.2">
      <c r="A38" s="52" t="s">
        <v>182</v>
      </c>
      <c r="B38" s="64">
        <v>45</v>
      </c>
      <c r="C38" s="64">
        <v>43</v>
      </c>
      <c r="D38" s="64">
        <v>42</v>
      </c>
      <c r="E38" s="64">
        <v>40</v>
      </c>
      <c r="F38" s="64">
        <v>38</v>
      </c>
      <c r="G38" s="64">
        <v>37</v>
      </c>
      <c r="H38" s="64">
        <v>35</v>
      </c>
      <c r="I38" s="64">
        <v>34</v>
      </c>
      <c r="J38" s="64">
        <v>32</v>
      </c>
      <c r="K38" s="64">
        <v>31</v>
      </c>
      <c r="L38" s="64">
        <v>30</v>
      </c>
      <c r="M38" s="64">
        <v>29</v>
      </c>
    </row>
    <row r="39" spans="1:14" ht="19.5" customHeight="1" x14ac:dyDescent="0.2">
      <c r="A39" s="40" t="s">
        <v>183</v>
      </c>
      <c r="B39" s="65">
        <v>35</v>
      </c>
      <c r="C39" s="65">
        <v>37</v>
      </c>
      <c r="D39" s="65">
        <v>38</v>
      </c>
      <c r="E39" s="65">
        <v>40</v>
      </c>
      <c r="F39" s="65">
        <v>42</v>
      </c>
      <c r="G39" s="65">
        <v>43</v>
      </c>
      <c r="H39" s="65">
        <v>45</v>
      </c>
      <c r="I39" s="65">
        <v>46</v>
      </c>
      <c r="J39" s="65">
        <v>48</v>
      </c>
      <c r="K39" s="65">
        <v>50</v>
      </c>
      <c r="L39" s="65">
        <v>51</v>
      </c>
      <c r="M39" s="65">
        <v>53</v>
      </c>
    </row>
  </sheetData>
  <mergeCells count="6">
    <mergeCell ref="A34:N34"/>
    <mergeCell ref="A1:J1"/>
    <mergeCell ref="A4:N4"/>
    <mergeCell ref="A12:N12"/>
    <mergeCell ref="A18:N18"/>
    <mergeCell ref="A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74706"/>
  </sheetPr>
  <dimension ref="A1:N31"/>
  <sheetViews>
    <sheetView showGridLines="0" zoomScaleNormal="100" workbookViewId="0">
      <pane xSplit="1" ySplit="3" topLeftCell="B4" activePane="bottomRight" state="frozen"/>
      <selection pane="bottomLeft" activeCell="A4" sqref="A4"/>
      <selection pane="topRight" activeCell="B1" sqref="B1"/>
      <selection pane="bottomRight"/>
    </sheetView>
  </sheetViews>
  <sheetFormatPr defaultColWidth="8.7421875" defaultRowHeight="15" x14ac:dyDescent="0.2"/>
  <cols>
    <col min="1" max="1" width="34.97265625" style="15" customWidth="1"/>
    <col min="2" max="14" width="13.046875" style="15" customWidth="1"/>
  </cols>
  <sheetData>
    <row r="1" spans="1:14" ht="36" customHeight="1" x14ac:dyDescent="0.2">
      <c r="A1" s="97" t="s">
        <v>184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3" spans="1:14" ht="27.75" customHeight="1" x14ac:dyDescent="0.2">
      <c r="A3" s="12" t="s">
        <v>185</v>
      </c>
      <c r="B3" s="12"/>
      <c r="C3" s="12"/>
      <c r="D3" s="12"/>
    </row>
    <row r="5" spans="1:14" ht="21.75" customHeight="1" x14ac:dyDescent="0.2">
      <c r="A5" s="66" t="s">
        <v>186</v>
      </c>
      <c r="B5" s="66" t="s">
        <v>187</v>
      </c>
      <c r="C5" s="16" t="s">
        <v>188</v>
      </c>
      <c r="D5" s="16" t="s">
        <v>189</v>
      </c>
    </row>
    <row r="6" spans="1:14" ht="24" customHeight="1" x14ac:dyDescent="0.2">
      <c r="A6" s="40" t="s">
        <v>190</v>
      </c>
      <c r="B6" s="67" t="s">
        <v>191</v>
      </c>
      <c r="C6" s="18">
        <v>400000</v>
      </c>
      <c r="D6" s="17" t="s">
        <v>192</v>
      </c>
    </row>
    <row r="7" spans="1:14" ht="24" customHeight="1" x14ac:dyDescent="0.2">
      <c r="A7" s="53" t="s">
        <v>193</v>
      </c>
      <c r="B7" s="68" t="s">
        <v>194</v>
      </c>
      <c r="C7" s="23">
        <v>200000</v>
      </c>
      <c r="D7" s="22" t="s">
        <v>59</v>
      </c>
    </row>
    <row r="8" spans="1:14" ht="24" customHeight="1" x14ac:dyDescent="0.2">
      <c r="A8" s="49" t="s">
        <v>58</v>
      </c>
      <c r="B8" s="69" t="s">
        <v>195</v>
      </c>
      <c r="C8" s="28">
        <v>200000</v>
      </c>
      <c r="D8" s="27" t="s">
        <v>59</v>
      </c>
    </row>
    <row r="9" spans="1:14" ht="24" customHeight="1" x14ac:dyDescent="0.2">
      <c r="A9" s="52" t="s">
        <v>196</v>
      </c>
      <c r="B9" s="70" t="s">
        <v>197</v>
      </c>
      <c r="C9" s="33">
        <v>150000</v>
      </c>
      <c r="D9" s="32" t="s">
        <v>53</v>
      </c>
    </row>
    <row r="10" spans="1:14" ht="24" customHeight="1" x14ac:dyDescent="0.2">
      <c r="A10" s="40" t="s">
        <v>198</v>
      </c>
      <c r="B10" s="67" t="s">
        <v>199</v>
      </c>
      <c r="C10" s="18">
        <v>300000</v>
      </c>
      <c r="D10" s="17" t="s">
        <v>200</v>
      </c>
    </row>
    <row r="11" spans="1:14" ht="24" customHeight="1" x14ac:dyDescent="0.2">
      <c r="A11" s="53" t="s">
        <v>201</v>
      </c>
      <c r="B11" s="68" t="s">
        <v>202</v>
      </c>
      <c r="C11" s="23">
        <v>150000</v>
      </c>
      <c r="D11" s="22" t="s">
        <v>53</v>
      </c>
    </row>
    <row r="12" spans="1:14" ht="24" customHeight="1" x14ac:dyDescent="0.2">
      <c r="A12" s="49" t="s">
        <v>203</v>
      </c>
      <c r="B12" s="69" t="s">
        <v>204</v>
      </c>
      <c r="C12" s="28">
        <v>100000</v>
      </c>
      <c r="D12" s="27" t="s">
        <v>205</v>
      </c>
    </row>
    <row r="13" spans="1:14" ht="24" customHeight="1" x14ac:dyDescent="0.2">
      <c r="A13" s="52" t="s">
        <v>206</v>
      </c>
      <c r="B13" s="70" t="s">
        <v>207</v>
      </c>
      <c r="C13" s="33">
        <v>100000</v>
      </c>
      <c r="D13" s="32" t="s">
        <v>205</v>
      </c>
    </row>
    <row r="14" spans="1:14" ht="24" customHeight="1" x14ac:dyDescent="0.2">
      <c r="A14" s="40" t="s">
        <v>208</v>
      </c>
      <c r="B14" s="67" t="s">
        <v>209</v>
      </c>
      <c r="C14" s="18">
        <v>200000</v>
      </c>
      <c r="D14" s="17" t="s">
        <v>59</v>
      </c>
    </row>
    <row r="15" spans="1:14" ht="24" customHeight="1" x14ac:dyDescent="0.2">
      <c r="A15" s="53" t="s">
        <v>210</v>
      </c>
      <c r="B15" s="68" t="s">
        <v>211</v>
      </c>
      <c r="C15" s="23">
        <v>200000</v>
      </c>
      <c r="D15" s="22" t="s">
        <v>59</v>
      </c>
    </row>
    <row r="16" spans="1:14" ht="24" customHeight="1" x14ac:dyDescent="0.2">
      <c r="A16" s="47" t="s">
        <v>212</v>
      </c>
      <c r="C16" s="48">
        <v>2000000</v>
      </c>
    </row>
    <row r="19" spans="1:14" ht="27.75" customHeight="1" x14ac:dyDescent="0.2">
      <c r="A19" s="12" t="s">
        <v>213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21.75" customHeight="1" x14ac:dyDescent="0.2">
      <c r="A20" s="71" t="s">
        <v>214</v>
      </c>
      <c r="B20" s="16" t="s">
        <v>118</v>
      </c>
      <c r="C20" s="16" t="s">
        <v>119</v>
      </c>
      <c r="D20" s="16" t="s">
        <v>120</v>
      </c>
      <c r="E20" s="16" t="s">
        <v>121</v>
      </c>
      <c r="F20" s="16" t="s">
        <v>122</v>
      </c>
      <c r="G20" s="16" t="s">
        <v>123</v>
      </c>
      <c r="H20" s="16" t="s">
        <v>124</v>
      </c>
      <c r="I20" s="16" t="s">
        <v>125</v>
      </c>
      <c r="J20" s="16" t="s">
        <v>126</v>
      </c>
      <c r="K20" s="16" t="s">
        <v>127</v>
      </c>
      <c r="L20" s="16" t="s">
        <v>128</v>
      </c>
      <c r="M20" s="16" t="s">
        <v>129</v>
      </c>
      <c r="N20" s="16" t="s">
        <v>215</v>
      </c>
    </row>
    <row r="21" spans="1:14" ht="21.75" customHeight="1" x14ac:dyDescent="0.2">
      <c r="A21" s="102" t="s">
        <v>216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</row>
    <row r="22" spans="1:14" ht="21.75" customHeight="1" x14ac:dyDescent="0.2">
      <c r="A22" s="53" t="s">
        <v>217</v>
      </c>
      <c r="B22" s="26">
        <v>208566</v>
      </c>
      <c r="C22" s="26">
        <v>237873</v>
      </c>
      <c r="D22" s="26">
        <v>279676</v>
      </c>
      <c r="E22" s="26">
        <v>320041</v>
      </c>
      <c r="F22" s="26">
        <v>382880</v>
      </c>
      <c r="G22" s="26">
        <v>458935</v>
      </c>
      <c r="H22" s="26">
        <v>549643</v>
      </c>
      <c r="I22" s="26">
        <v>653566</v>
      </c>
      <c r="J22" s="26">
        <v>773402</v>
      </c>
      <c r="K22" s="26">
        <v>890001</v>
      </c>
      <c r="L22" s="26">
        <v>1022512</v>
      </c>
      <c r="M22" s="26">
        <v>1156822</v>
      </c>
      <c r="N22" s="48">
        <v>6933917</v>
      </c>
    </row>
    <row r="23" spans="1:14" ht="21.75" customHeight="1" x14ac:dyDescent="0.2">
      <c r="A23" s="138" t="s">
        <v>218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1:14" ht="21.75" customHeight="1" x14ac:dyDescent="0.2">
      <c r="A24" s="49" t="s">
        <v>219</v>
      </c>
      <c r="B24" s="31">
        <v>59150</v>
      </c>
      <c r="C24" s="31">
        <v>67460</v>
      </c>
      <c r="D24" s="31">
        <v>79315</v>
      </c>
      <c r="E24" s="31">
        <v>90770</v>
      </c>
      <c r="F24" s="31">
        <v>108585</v>
      </c>
      <c r="G24" s="31">
        <v>130155</v>
      </c>
      <c r="H24" s="31">
        <v>155880</v>
      </c>
      <c r="I24" s="31">
        <v>185375</v>
      </c>
      <c r="J24" s="31">
        <v>219370</v>
      </c>
      <c r="K24" s="31">
        <v>252450</v>
      </c>
      <c r="L24" s="31">
        <v>290030</v>
      </c>
      <c r="M24" s="31">
        <v>328140</v>
      </c>
      <c r="N24" s="55">
        <v>1966680</v>
      </c>
    </row>
    <row r="25" spans="1:14" ht="21.75" customHeight="1" x14ac:dyDescent="0.2">
      <c r="A25" s="49" t="s">
        <v>220</v>
      </c>
      <c r="B25" s="31">
        <v>50000</v>
      </c>
      <c r="C25" s="31">
        <v>55000</v>
      </c>
      <c r="D25" s="31">
        <v>60000</v>
      </c>
      <c r="E25" s="31">
        <v>65000</v>
      </c>
      <c r="F25" s="31">
        <v>75000</v>
      </c>
      <c r="G25" s="31">
        <v>90000</v>
      </c>
      <c r="H25" s="31">
        <v>100000</v>
      </c>
      <c r="I25" s="31">
        <v>110000</v>
      </c>
      <c r="J25" s="31">
        <v>120000</v>
      </c>
      <c r="K25" s="31">
        <v>130000</v>
      </c>
      <c r="L25" s="31">
        <v>140000</v>
      </c>
      <c r="M25" s="31">
        <v>150000</v>
      </c>
      <c r="N25" s="55">
        <v>1145000</v>
      </c>
    </row>
    <row r="26" spans="1:14" ht="21.75" customHeight="1" x14ac:dyDescent="0.2">
      <c r="A26" s="49" t="s">
        <v>221</v>
      </c>
      <c r="B26" s="31">
        <v>16120</v>
      </c>
      <c r="C26" s="31">
        <v>18352</v>
      </c>
      <c r="D26" s="31">
        <v>21576</v>
      </c>
      <c r="E26" s="31">
        <v>24676</v>
      </c>
      <c r="F26" s="31">
        <v>29574</v>
      </c>
      <c r="G26" s="31">
        <v>35464</v>
      </c>
      <c r="H26" s="31">
        <v>42470</v>
      </c>
      <c r="I26" s="31">
        <v>50530</v>
      </c>
      <c r="J26" s="31">
        <v>59768</v>
      </c>
      <c r="K26" s="31">
        <v>68820</v>
      </c>
      <c r="L26" s="31">
        <v>79050</v>
      </c>
      <c r="M26" s="31">
        <v>89404</v>
      </c>
      <c r="N26" s="55">
        <v>535804</v>
      </c>
    </row>
    <row r="27" spans="1:14" ht="21.75" customHeight="1" x14ac:dyDescent="0.2">
      <c r="A27" s="49" t="s">
        <v>222</v>
      </c>
      <c r="B27" s="31">
        <v>80000</v>
      </c>
      <c r="C27" s="31">
        <v>80000</v>
      </c>
      <c r="D27" s="31">
        <v>80000</v>
      </c>
      <c r="E27" s="31">
        <v>80000</v>
      </c>
      <c r="F27" s="31">
        <v>80000</v>
      </c>
      <c r="G27" s="31">
        <v>80000</v>
      </c>
      <c r="H27" s="31">
        <v>80000</v>
      </c>
      <c r="I27" s="31">
        <v>80000</v>
      </c>
      <c r="J27" s="31">
        <v>80000</v>
      </c>
      <c r="K27" s="31">
        <v>80000</v>
      </c>
      <c r="L27" s="31">
        <v>80000</v>
      </c>
      <c r="M27" s="31">
        <v>80000</v>
      </c>
      <c r="N27" s="55">
        <v>960000</v>
      </c>
    </row>
    <row r="28" spans="1:14" ht="21.75" customHeight="1" x14ac:dyDescent="0.2">
      <c r="A28" s="49" t="s">
        <v>223</v>
      </c>
      <c r="B28" s="31">
        <v>30000</v>
      </c>
      <c r="C28" s="31">
        <v>30000</v>
      </c>
      <c r="D28" s="31">
        <v>35000</v>
      </c>
      <c r="E28" s="31">
        <v>35000</v>
      </c>
      <c r="F28" s="31">
        <v>40000</v>
      </c>
      <c r="G28" s="31">
        <v>45000</v>
      </c>
      <c r="H28" s="31">
        <v>45000</v>
      </c>
      <c r="I28" s="31">
        <v>50000</v>
      </c>
      <c r="J28" s="31">
        <v>50000</v>
      </c>
      <c r="K28" s="31">
        <v>55000</v>
      </c>
      <c r="L28" s="31">
        <v>55000</v>
      </c>
      <c r="M28" s="31">
        <v>60000</v>
      </c>
      <c r="N28" s="55">
        <v>530000</v>
      </c>
    </row>
    <row r="29" spans="1:14" ht="21.75" customHeight="1" x14ac:dyDescent="0.2">
      <c r="A29" s="47" t="s">
        <v>224</v>
      </c>
      <c r="B29" s="56">
        <v>-30875</v>
      </c>
      <c r="C29" s="56">
        <v>-17696</v>
      </c>
      <c r="D29" s="56">
        <v>-1808</v>
      </c>
      <c r="E29" s="48">
        <v>18195</v>
      </c>
      <c r="F29" s="48">
        <v>42064</v>
      </c>
      <c r="G29" s="48">
        <v>69138</v>
      </c>
      <c r="H29" s="48">
        <v>115301</v>
      </c>
      <c r="I29" s="48">
        <v>164590</v>
      </c>
      <c r="J29" s="48">
        <v>228796</v>
      </c>
      <c r="K29" s="48">
        <v>285931</v>
      </c>
      <c r="L29" s="48">
        <v>357982</v>
      </c>
      <c r="M29" s="48">
        <v>426142</v>
      </c>
      <c r="N29" s="48">
        <v>1657760</v>
      </c>
    </row>
    <row r="30" spans="1:14" ht="21.75" customHeight="1" x14ac:dyDescent="0.2">
      <c r="A30" s="40" t="s">
        <v>225</v>
      </c>
      <c r="B30" s="21">
        <v>2000000</v>
      </c>
      <c r="C30" s="21">
        <v>1969125</v>
      </c>
      <c r="D30" s="21">
        <v>1951429</v>
      </c>
      <c r="E30" s="21">
        <v>1949621</v>
      </c>
      <c r="F30" s="21">
        <v>1967816</v>
      </c>
      <c r="G30" s="21">
        <v>2009880</v>
      </c>
      <c r="H30" s="21">
        <v>2079018</v>
      </c>
      <c r="I30" s="21">
        <v>2194319</v>
      </c>
      <c r="J30" s="21">
        <v>2358909</v>
      </c>
      <c r="K30" s="21">
        <v>2587705</v>
      </c>
      <c r="L30" s="21">
        <v>2873636</v>
      </c>
      <c r="M30" s="21">
        <v>3231618</v>
      </c>
      <c r="N30" s="72">
        <v>27173076</v>
      </c>
    </row>
    <row r="31" spans="1:14" ht="21.75" customHeight="1" x14ac:dyDescent="0.2">
      <c r="A31" s="57" t="s">
        <v>226</v>
      </c>
      <c r="B31" s="72">
        <v>1969125</v>
      </c>
      <c r="C31" s="72">
        <v>1951429</v>
      </c>
      <c r="D31" s="72">
        <v>1949621</v>
      </c>
      <c r="E31" s="72">
        <v>1967816</v>
      </c>
      <c r="F31" s="72">
        <v>2009880</v>
      </c>
      <c r="G31" s="72">
        <v>2079018</v>
      </c>
      <c r="H31" s="72">
        <v>2194319</v>
      </c>
      <c r="I31" s="72">
        <v>2358909</v>
      </c>
      <c r="J31" s="72">
        <v>2587705</v>
      </c>
      <c r="K31" s="72">
        <v>2873636</v>
      </c>
      <c r="L31" s="72">
        <v>3231618</v>
      </c>
      <c r="M31" s="72">
        <v>3657760</v>
      </c>
      <c r="N31" s="72">
        <v>28830836</v>
      </c>
    </row>
  </sheetData>
  <mergeCells count="5">
    <mergeCell ref="A1:N1"/>
    <mergeCell ref="A3:D3"/>
    <mergeCell ref="A19:N19"/>
    <mergeCell ref="A21:N21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M26"/>
  <sheetViews>
    <sheetView showGridLines="0" zoomScaleNormal="100" workbookViewId="0"/>
  </sheetViews>
  <sheetFormatPr defaultColWidth="8.7421875" defaultRowHeight="15" x14ac:dyDescent="0.2"/>
  <cols>
    <col min="1" max="1" width="34.97265625" style="15" customWidth="1"/>
    <col min="2" max="4" width="20.04296875" style="15" customWidth="1"/>
    <col min="5" max="5" width="18.0234375" style="15" customWidth="1"/>
    <col min="6" max="6" width="20.04296875" style="15" customWidth="1"/>
    <col min="7" max="7" width="16.0078125" style="15" customWidth="1"/>
  </cols>
  <sheetData>
    <row r="1" spans="1:12" ht="36" customHeight="1" x14ac:dyDescent="0.2">
      <c r="A1" s="97" t="s">
        <v>227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3" spans="1:12" ht="25.5" customHeight="1" x14ac:dyDescent="0.2">
      <c r="A3" s="3" t="s">
        <v>228</v>
      </c>
      <c r="B3" s="3"/>
      <c r="C3" s="3"/>
      <c r="D3" s="3"/>
      <c r="E3" s="3"/>
      <c r="F3" s="3"/>
      <c r="G3" s="3"/>
    </row>
    <row r="4" spans="1:12" ht="24" customHeight="1" x14ac:dyDescent="0.2">
      <c r="A4" s="66" t="s">
        <v>229</v>
      </c>
      <c r="B4" s="16" t="s">
        <v>230</v>
      </c>
      <c r="C4" s="16" t="s">
        <v>231</v>
      </c>
      <c r="D4" s="16" t="s">
        <v>232</v>
      </c>
      <c r="E4" s="16" t="s">
        <v>233</v>
      </c>
    </row>
    <row r="5" spans="1:12" ht="24" customHeight="1" x14ac:dyDescent="0.2">
      <c r="A5" s="40" t="s">
        <v>234</v>
      </c>
      <c r="B5" s="17" t="s">
        <v>235</v>
      </c>
      <c r="C5" s="17" t="s">
        <v>236</v>
      </c>
      <c r="D5" s="17" t="s">
        <v>237</v>
      </c>
      <c r="E5" s="17" t="s">
        <v>238</v>
      </c>
    </row>
    <row r="6" spans="1:12" ht="24" customHeight="1" x14ac:dyDescent="0.2">
      <c r="A6" s="53" t="s">
        <v>239</v>
      </c>
      <c r="B6" s="22" t="s">
        <v>240</v>
      </c>
      <c r="C6" s="22" t="s">
        <v>241</v>
      </c>
      <c r="D6" s="22" t="s">
        <v>49</v>
      </c>
      <c r="E6" s="22" t="s">
        <v>242</v>
      </c>
    </row>
    <row r="7" spans="1:12" ht="24" customHeight="1" x14ac:dyDescent="0.2">
      <c r="A7" s="49" t="s">
        <v>105</v>
      </c>
      <c r="B7" s="27" t="s">
        <v>243</v>
      </c>
      <c r="C7" s="27" t="s">
        <v>244</v>
      </c>
      <c r="D7" s="27" t="s">
        <v>56</v>
      </c>
      <c r="E7" s="27" t="s">
        <v>245</v>
      </c>
    </row>
    <row r="8" spans="1:12" ht="24" customHeight="1" x14ac:dyDescent="0.2">
      <c r="A8" s="73" t="s">
        <v>246</v>
      </c>
      <c r="B8" s="74" t="s">
        <v>66</v>
      </c>
      <c r="C8" s="74" t="s">
        <v>247</v>
      </c>
      <c r="D8" s="74" t="s">
        <v>248</v>
      </c>
      <c r="E8" s="74" t="s">
        <v>249</v>
      </c>
    </row>
    <row r="9" spans="1:12" ht="24" customHeight="1" x14ac:dyDescent="0.2">
      <c r="A9" s="53" t="s">
        <v>250</v>
      </c>
      <c r="B9" s="22" t="s">
        <v>251</v>
      </c>
      <c r="C9" s="22" t="s">
        <v>252</v>
      </c>
      <c r="D9" s="22" t="s">
        <v>7</v>
      </c>
      <c r="E9" s="22" t="s">
        <v>253</v>
      </c>
    </row>
    <row r="10" spans="1:12" ht="24" customHeight="1" x14ac:dyDescent="0.2">
      <c r="A10" s="52" t="s">
        <v>254</v>
      </c>
      <c r="B10" s="32" t="s">
        <v>255</v>
      </c>
      <c r="C10" s="32" t="s">
        <v>256</v>
      </c>
      <c r="D10" s="32" t="s">
        <v>257</v>
      </c>
      <c r="E10" s="32" t="s">
        <v>258</v>
      </c>
    </row>
    <row r="12" spans="1:12" ht="25.5" customHeight="1" x14ac:dyDescent="0.2">
      <c r="A12" s="2" t="s">
        <v>259</v>
      </c>
      <c r="B12" s="2"/>
      <c r="C12" s="2"/>
      <c r="D12" s="2"/>
      <c r="E12" s="2"/>
      <c r="F12" s="2"/>
      <c r="G12" s="2"/>
    </row>
    <row r="13" spans="1:12" ht="21.75" customHeight="1" x14ac:dyDescent="0.2">
      <c r="A13" s="66" t="s">
        <v>186</v>
      </c>
      <c r="B13" s="16" t="s">
        <v>260</v>
      </c>
      <c r="C13" s="16" t="s">
        <v>261</v>
      </c>
      <c r="D13" s="16" t="s">
        <v>262</v>
      </c>
      <c r="E13" s="16" t="s">
        <v>215</v>
      </c>
      <c r="F13" s="16" t="s">
        <v>263</v>
      </c>
    </row>
    <row r="14" spans="1:12" ht="21.75" customHeight="1" x14ac:dyDescent="0.2">
      <c r="A14" s="53" t="s">
        <v>264</v>
      </c>
      <c r="B14" s="22" t="s">
        <v>265</v>
      </c>
      <c r="C14" s="22" t="s">
        <v>55</v>
      </c>
      <c r="D14" s="22" t="s">
        <v>266</v>
      </c>
      <c r="E14" s="22" t="s">
        <v>267</v>
      </c>
      <c r="F14" s="22" t="s">
        <v>268</v>
      </c>
    </row>
    <row r="15" spans="1:12" ht="21.75" customHeight="1" x14ac:dyDescent="0.2">
      <c r="A15" s="49" t="s">
        <v>269</v>
      </c>
      <c r="B15" s="27" t="s">
        <v>66</v>
      </c>
      <c r="C15" s="27" t="s">
        <v>270</v>
      </c>
      <c r="D15" s="27" t="s">
        <v>271</v>
      </c>
      <c r="E15" s="27" t="s">
        <v>265</v>
      </c>
      <c r="F15" s="27" t="s">
        <v>272</v>
      </c>
    </row>
    <row r="16" spans="1:12" ht="21.75" customHeight="1" x14ac:dyDescent="0.2">
      <c r="A16" s="52" t="s">
        <v>273</v>
      </c>
      <c r="B16" s="32" t="s">
        <v>270</v>
      </c>
      <c r="C16" s="32" t="s">
        <v>66</v>
      </c>
      <c r="D16" s="32" t="s">
        <v>66</v>
      </c>
      <c r="E16" s="32" t="s">
        <v>55</v>
      </c>
      <c r="F16" s="32" t="s">
        <v>274</v>
      </c>
    </row>
    <row r="17" spans="1:13" ht="21.75" customHeight="1" x14ac:dyDescent="0.2">
      <c r="A17" s="40" t="s">
        <v>275</v>
      </c>
      <c r="B17" s="17" t="s">
        <v>65</v>
      </c>
      <c r="C17" s="17" t="s">
        <v>276</v>
      </c>
      <c r="D17" s="17" t="s">
        <v>276</v>
      </c>
      <c r="E17" s="17" t="s">
        <v>277</v>
      </c>
      <c r="F17" s="17" t="s">
        <v>278</v>
      </c>
    </row>
    <row r="18" spans="1:13" ht="21.75" customHeight="1" x14ac:dyDescent="0.2">
      <c r="A18" s="53" t="s">
        <v>279</v>
      </c>
      <c r="B18" s="22" t="s">
        <v>280</v>
      </c>
      <c r="C18" s="22" t="s">
        <v>66</v>
      </c>
      <c r="D18" s="22" t="s">
        <v>270</v>
      </c>
      <c r="E18" s="22" t="s">
        <v>281</v>
      </c>
      <c r="F18" s="22" t="s">
        <v>282</v>
      </c>
    </row>
    <row r="19" spans="1:13" ht="21.75" customHeight="1" x14ac:dyDescent="0.2">
      <c r="A19" s="49" t="s">
        <v>208</v>
      </c>
      <c r="B19" s="27" t="s">
        <v>276</v>
      </c>
      <c r="C19" s="27" t="s">
        <v>271</v>
      </c>
      <c r="D19" s="27" t="s">
        <v>283</v>
      </c>
      <c r="E19" s="27" t="s">
        <v>65</v>
      </c>
      <c r="F19" s="27" t="s">
        <v>284</v>
      </c>
    </row>
    <row r="20" spans="1:13" ht="21.75" customHeight="1" x14ac:dyDescent="0.2">
      <c r="A20" s="47" t="s">
        <v>37</v>
      </c>
      <c r="B20" s="75" t="s">
        <v>285</v>
      </c>
      <c r="C20" s="75" t="s">
        <v>286</v>
      </c>
      <c r="D20" s="75" t="s">
        <v>287</v>
      </c>
      <c r="E20" s="75" t="s">
        <v>288</v>
      </c>
      <c r="F20" s="75"/>
    </row>
    <row r="23" spans="1:13" ht="25.5" customHeight="1" x14ac:dyDescent="0.2">
      <c r="A23" s="3" t="s">
        <v>289</v>
      </c>
      <c r="B23" s="3"/>
      <c r="C23" s="3"/>
      <c r="D23" s="3"/>
      <c r="E23" s="3"/>
      <c r="F23" s="3"/>
      <c r="G23" s="3"/>
    </row>
    <row r="24" spans="1:13" ht="21.75" customHeight="1" x14ac:dyDescent="0.2">
      <c r="A24" s="71" t="s">
        <v>290</v>
      </c>
      <c r="B24" s="16" t="s">
        <v>291</v>
      </c>
      <c r="C24" s="16" t="s">
        <v>292</v>
      </c>
      <c r="D24" s="16" t="s">
        <v>293</v>
      </c>
      <c r="E24" s="16" t="s">
        <v>294</v>
      </c>
      <c r="F24" s="16" t="s">
        <v>295</v>
      </c>
      <c r="G24" s="16" t="s">
        <v>296</v>
      </c>
      <c r="H24" s="16" t="s">
        <v>297</v>
      </c>
      <c r="I24" s="16" t="s">
        <v>298</v>
      </c>
      <c r="J24" s="16" t="s">
        <v>299</v>
      </c>
      <c r="K24" s="16" t="s">
        <v>300</v>
      </c>
      <c r="L24" s="16" t="s">
        <v>301</v>
      </c>
      <c r="M24" s="16" t="s">
        <v>302</v>
      </c>
    </row>
    <row r="25" spans="1:13" ht="21.75" customHeight="1" x14ac:dyDescent="0.2">
      <c r="A25" s="47" t="s">
        <v>303</v>
      </c>
      <c r="B25" s="26">
        <v>500000</v>
      </c>
      <c r="C25" s="26">
        <v>580000</v>
      </c>
      <c r="D25" s="26">
        <v>660000</v>
      </c>
      <c r="E25" s="26">
        <v>750000</v>
      </c>
      <c r="F25" s="26">
        <v>850000</v>
      </c>
      <c r="G25" s="26">
        <v>950000</v>
      </c>
      <c r="H25" s="26">
        <v>1050000</v>
      </c>
      <c r="I25" s="26">
        <v>1150000</v>
      </c>
      <c r="J25" s="26">
        <v>1270000</v>
      </c>
      <c r="K25" s="26">
        <v>1400000</v>
      </c>
      <c r="L25" s="26">
        <v>1550000</v>
      </c>
      <c r="M25" s="26">
        <v>1700000</v>
      </c>
    </row>
    <row r="26" spans="1:13" ht="21.75" customHeight="1" x14ac:dyDescent="0.2">
      <c r="A26" s="57" t="s">
        <v>150</v>
      </c>
      <c r="B26" s="21">
        <v>50000</v>
      </c>
      <c r="C26" s="21">
        <v>75000</v>
      </c>
      <c r="D26" s="21">
        <v>95000</v>
      </c>
      <c r="E26" s="21">
        <v>120000</v>
      </c>
      <c r="F26" s="21">
        <v>160000</v>
      </c>
      <c r="G26" s="21">
        <v>195000</v>
      </c>
      <c r="H26" s="21">
        <v>230000</v>
      </c>
      <c r="I26" s="21">
        <v>275000</v>
      </c>
      <c r="J26" s="21">
        <v>310000</v>
      </c>
      <c r="K26" s="21">
        <v>360000</v>
      </c>
      <c r="L26" s="21">
        <v>420000</v>
      </c>
      <c r="M26" s="21">
        <v>500000</v>
      </c>
    </row>
  </sheetData>
  <mergeCells count="4">
    <mergeCell ref="A1:L1"/>
    <mergeCell ref="A3:G3"/>
    <mergeCell ref="A12:G12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M35"/>
  <sheetViews>
    <sheetView showGridLines="0" zoomScaleNormal="100" workbookViewId="0"/>
  </sheetViews>
  <sheetFormatPr defaultColWidth="8.7421875" defaultRowHeight="15" x14ac:dyDescent="0.2"/>
  <cols>
    <col min="1" max="1" width="29.99609375" style="15" customWidth="1"/>
    <col min="2" max="6" width="22.05859375" style="15" customWidth="1"/>
  </cols>
  <sheetData>
    <row r="1" spans="1:13" ht="36" customHeight="1" x14ac:dyDescent="0.2">
      <c r="A1" s="139" t="s">
        <v>304</v>
      </c>
      <c r="B1" s="139"/>
      <c r="C1" s="139"/>
      <c r="D1" s="139"/>
      <c r="E1" s="139"/>
      <c r="F1" s="139"/>
      <c r="G1" s="139"/>
      <c r="H1" s="139"/>
      <c r="I1" s="139"/>
      <c r="J1" s="139"/>
    </row>
    <row r="3" spans="1:13" ht="27.75" customHeight="1" x14ac:dyDescent="0.2">
      <c r="A3" s="12" t="s">
        <v>305</v>
      </c>
      <c r="B3" s="12"/>
      <c r="C3" s="12"/>
      <c r="D3" s="12"/>
      <c r="E3" s="12"/>
      <c r="F3" s="12"/>
    </row>
    <row r="4" spans="1:13" ht="24" customHeight="1" x14ac:dyDescent="0.2">
      <c r="A4" s="71" t="s">
        <v>306</v>
      </c>
      <c r="B4" s="42" t="s">
        <v>307</v>
      </c>
      <c r="C4" s="42" t="s">
        <v>308</v>
      </c>
      <c r="D4" s="42" t="s">
        <v>309</v>
      </c>
      <c r="E4" s="42" t="s">
        <v>310</v>
      </c>
      <c r="F4" s="42" t="s">
        <v>311</v>
      </c>
    </row>
    <row r="5" spans="1:13" ht="24" customHeight="1" x14ac:dyDescent="0.2">
      <c r="A5" s="53" t="s">
        <v>43</v>
      </c>
      <c r="B5" s="76" t="s">
        <v>55</v>
      </c>
      <c r="C5" s="77" t="s">
        <v>61</v>
      </c>
      <c r="D5" s="78" t="s">
        <v>312</v>
      </c>
      <c r="E5" s="22" t="s">
        <v>313</v>
      </c>
      <c r="F5" s="22" t="s">
        <v>314</v>
      </c>
    </row>
    <row r="6" spans="1:13" ht="24" customHeight="1" x14ac:dyDescent="0.2">
      <c r="A6" s="49" t="s">
        <v>44</v>
      </c>
      <c r="B6" s="79" t="s">
        <v>56</v>
      </c>
      <c r="C6" s="80" t="s">
        <v>55</v>
      </c>
      <c r="D6" s="81" t="s">
        <v>277</v>
      </c>
      <c r="E6" s="27" t="s">
        <v>315</v>
      </c>
      <c r="F6" s="27" t="s">
        <v>316</v>
      </c>
    </row>
    <row r="7" spans="1:13" ht="24" customHeight="1" x14ac:dyDescent="0.2">
      <c r="A7" s="52" t="s">
        <v>317</v>
      </c>
      <c r="B7" s="82" t="s">
        <v>318</v>
      </c>
      <c r="C7" s="83" t="s">
        <v>319</v>
      </c>
      <c r="D7" s="84" t="s">
        <v>320</v>
      </c>
      <c r="E7" s="32" t="s">
        <v>321</v>
      </c>
      <c r="F7" s="32" t="s">
        <v>322</v>
      </c>
    </row>
    <row r="8" spans="1:13" ht="24" customHeight="1" x14ac:dyDescent="0.2">
      <c r="A8" s="40" t="s">
        <v>323</v>
      </c>
      <c r="B8" s="85" t="s">
        <v>16</v>
      </c>
      <c r="C8" s="86" t="s">
        <v>324</v>
      </c>
      <c r="D8" s="87" t="s">
        <v>325</v>
      </c>
      <c r="E8" s="17" t="s">
        <v>326</v>
      </c>
      <c r="F8" s="17" t="s">
        <v>327</v>
      </c>
    </row>
    <row r="9" spans="1:13" ht="24" customHeight="1" x14ac:dyDescent="0.2">
      <c r="A9" s="53" t="s">
        <v>328</v>
      </c>
      <c r="B9" s="76" t="s">
        <v>329</v>
      </c>
      <c r="C9" s="77" t="s">
        <v>277</v>
      </c>
      <c r="D9" s="78" t="s">
        <v>330</v>
      </c>
      <c r="E9" s="22" t="s">
        <v>331</v>
      </c>
      <c r="F9" s="22" t="s">
        <v>332</v>
      </c>
    </row>
    <row r="10" spans="1:13" ht="24" customHeight="1" x14ac:dyDescent="0.2">
      <c r="A10" s="49" t="s">
        <v>333</v>
      </c>
      <c r="B10" s="79" t="s">
        <v>16</v>
      </c>
      <c r="C10" s="80" t="s">
        <v>334</v>
      </c>
      <c r="D10" s="81" t="s">
        <v>325</v>
      </c>
      <c r="E10" s="27" t="s">
        <v>335</v>
      </c>
      <c r="F10" s="27" t="s">
        <v>336</v>
      </c>
    </row>
    <row r="11" spans="1:13" ht="24" customHeight="1" x14ac:dyDescent="0.2">
      <c r="A11" s="52" t="s">
        <v>337</v>
      </c>
      <c r="B11" s="82" t="s">
        <v>338</v>
      </c>
      <c r="C11" s="83" t="s">
        <v>339</v>
      </c>
      <c r="D11" s="84" t="s">
        <v>340</v>
      </c>
      <c r="E11" s="32" t="s">
        <v>341</v>
      </c>
      <c r="F11" s="32" t="s">
        <v>342</v>
      </c>
    </row>
    <row r="12" spans="1:13" ht="24" customHeight="1" x14ac:dyDescent="0.2">
      <c r="A12" s="40" t="s">
        <v>343</v>
      </c>
      <c r="B12" s="85" t="s">
        <v>344</v>
      </c>
      <c r="C12" s="86" t="s">
        <v>345</v>
      </c>
      <c r="D12" s="87" t="s">
        <v>346</v>
      </c>
      <c r="E12" s="17" t="s">
        <v>347</v>
      </c>
      <c r="F12" s="17" t="s">
        <v>348</v>
      </c>
    </row>
    <row r="15" spans="1:13" ht="27.75" customHeight="1" x14ac:dyDescent="0.2">
      <c r="A15" s="140" t="s">
        <v>349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</row>
    <row r="16" spans="1:13" ht="21.75" customHeight="1" x14ac:dyDescent="0.2">
      <c r="A16" s="71" t="s">
        <v>306</v>
      </c>
      <c r="B16" s="16" t="s">
        <v>118</v>
      </c>
      <c r="C16" s="16" t="s">
        <v>119</v>
      </c>
      <c r="D16" s="16" t="s">
        <v>120</v>
      </c>
      <c r="E16" s="16" t="s">
        <v>121</v>
      </c>
      <c r="F16" s="16" t="s">
        <v>122</v>
      </c>
      <c r="G16" s="16" t="s">
        <v>123</v>
      </c>
      <c r="H16" s="16" t="s">
        <v>124</v>
      </c>
      <c r="I16" s="16" t="s">
        <v>125</v>
      </c>
      <c r="J16" s="16" t="s">
        <v>126</v>
      </c>
      <c r="K16" s="16" t="s">
        <v>127</v>
      </c>
      <c r="L16" s="16" t="s">
        <v>128</v>
      </c>
      <c r="M16" s="16" t="s">
        <v>129</v>
      </c>
    </row>
    <row r="17" spans="1:13" ht="21.75" customHeight="1" x14ac:dyDescent="0.2">
      <c r="A17" s="49" t="s">
        <v>350</v>
      </c>
      <c r="B17" s="31">
        <v>83426</v>
      </c>
      <c r="C17" s="31">
        <v>95149</v>
      </c>
      <c r="D17" s="31">
        <v>111870</v>
      </c>
      <c r="E17" s="31">
        <v>128016</v>
      </c>
      <c r="F17" s="31">
        <v>153152</v>
      </c>
      <c r="G17" s="31">
        <v>183574</v>
      </c>
      <c r="H17" s="31">
        <v>219857</v>
      </c>
      <c r="I17" s="31">
        <v>261426</v>
      </c>
      <c r="J17" s="31">
        <v>309360</v>
      </c>
      <c r="K17" s="31">
        <v>356000</v>
      </c>
      <c r="L17" s="31">
        <v>409004</v>
      </c>
      <c r="M17" s="31">
        <v>462728</v>
      </c>
    </row>
    <row r="18" spans="1:13" ht="21.75" customHeight="1" x14ac:dyDescent="0.2">
      <c r="A18" s="49" t="s">
        <v>351</v>
      </c>
      <c r="B18" s="31">
        <v>23660</v>
      </c>
      <c r="C18" s="31">
        <v>26984</v>
      </c>
      <c r="D18" s="31">
        <v>31726</v>
      </c>
      <c r="E18" s="31">
        <v>36308</v>
      </c>
      <c r="F18" s="31">
        <v>43434</v>
      </c>
      <c r="G18" s="31">
        <v>52062</v>
      </c>
      <c r="H18" s="31">
        <v>62352</v>
      </c>
      <c r="I18" s="31">
        <v>74150</v>
      </c>
      <c r="J18" s="31">
        <v>87748</v>
      </c>
      <c r="K18" s="31">
        <v>100980</v>
      </c>
      <c r="L18" s="31">
        <v>116012</v>
      </c>
      <c r="M18" s="31">
        <v>131256</v>
      </c>
    </row>
    <row r="19" spans="1:13" ht="21.75" customHeight="1" x14ac:dyDescent="0.2">
      <c r="A19" s="49" t="s">
        <v>352</v>
      </c>
      <c r="B19" s="31">
        <v>216349</v>
      </c>
      <c r="C19" s="31">
        <v>225730</v>
      </c>
      <c r="D19" s="31">
        <v>242602</v>
      </c>
      <c r="E19" s="31">
        <v>253291</v>
      </c>
      <c r="F19" s="31">
        <v>278677</v>
      </c>
      <c r="G19" s="31">
        <v>311570</v>
      </c>
      <c r="H19" s="31">
        <v>334154</v>
      </c>
      <c r="I19" s="31">
        <v>364321</v>
      </c>
      <c r="J19" s="31">
        <v>390283</v>
      </c>
      <c r="K19" s="31">
        <v>421944</v>
      </c>
      <c r="L19" s="31">
        <v>449400</v>
      </c>
      <c r="M19" s="31">
        <v>483048</v>
      </c>
    </row>
    <row r="20" spans="1:13" ht="21.75" customHeight="1" x14ac:dyDescent="0.2">
      <c r="A20" s="54" t="s">
        <v>224</v>
      </c>
      <c r="B20" s="88">
        <v>-156583</v>
      </c>
      <c r="C20" s="88">
        <v>-157565</v>
      </c>
      <c r="D20" s="88">
        <v>-162458</v>
      </c>
      <c r="E20" s="88">
        <v>-161583</v>
      </c>
      <c r="F20" s="88">
        <v>-168959</v>
      </c>
      <c r="G20" s="88">
        <v>-180058</v>
      </c>
      <c r="H20" s="88">
        <v>-176649</v>
      </c>
      <c r="I20" s="88">
        <v>-177045</v>
      </c>
      <c r="J20" s="88">
        <v>-168671</v>
      </c>
      <c r="K20" s="88">
        <v>-166924</v>
      </c>
      <c r="L20" s="88">
        <v>-156408</v>
      </c>
      <c r="M20" s="88">
        <v>-151576</v>
      </c>
    </row>
    <row r="21" spans="1:13" ht="21.75" customHeight="1" x14ac:dyDescent="0.2">
      <c r="A21" s="54" t="s">
        <v>353</v>
      </c>
      <c r="B21" s="31">
        <v>1843417</v>
      </c>
      <c r="C21" s="31">
        <v>1685852</v>
      </c>
      <c r="D21" s="31">
        <v>1523394</v>
      </c>
      <c r="E21" s="31">
        <v>1361811</v>
      </c>
      <c r="F21" s="31">
        <v>1192852</v>
      </c>
      <c r="G21" s="31">
        <v>1012794</v>
      </c>
      <c r="H21" s="31">
        <v>836145</v>
      </c>
      <c r="I21" s="31">
        <v>659100</v>
      </c>
      <c r="J21" s="31">
        <v>490429</v>
      </c>
      <c r="K21" s="31">
        <v>323505</v>
      </c>
      <c r="L21" s="31">
        <v>167097</v>
      </c>
      <c r="M21" s="31">
        <v>15521</v>
      </c>
    </row>
    <row r="24" spans="1:13" ht="27.75" customHeight="1" x14ac:dyDescent="0.2">
      <c r="A24" s="140" t="s">
        <v>354</v>
      </c>
      <c r="B24" s="140"/>
      <c r="C24" s="140"/>
      <c r="D24" s="140"/>
      <c r="E24" s="140"/>
      <c r="F24" s="140"/>
    </row>
    <row r="25" spans="1:13" ht="27.75" customHeight="1" x14ac:dyDescent="0.2">
      <c r="A25" s="71" t="s">
        <v>355</v>
      </c>
      <c r="B25" s="89" t="s">
        <v>231</v>
      </c>
      <c r="C25" s="42" t="s">
        <v>356</v>
      </c>
      <c r="D25" s="42" t="s">
        <v>357</v>
      </c>
      <c r="E25" s="42" t="s">
        <v>358</v>
      </c>
      <c r="F25" s="42" t="s">
        <v>359</v>
      </c>
    </row>
    <row r="26" spans="1:13" ht="27.75" customHeight="1" x14ac:dyDescent="0.2">
      <c r="A26" s="73" t="s">
        <v>360</v>
      </c>
      <c r="B26" s="90" t="s">
        <v>361</v>
      </c>
      <c r="C26" s="74" t="s">
        <v>362</v>
      </c>
      <c r="D26" s="74" t="s">
        <v>363</v>
      </c>
      <c r="E26" s="74" t="s">
        <v>364</v>
      </c>
      <c r="F26" s="74" t="s">
        <v>365</v>
      </c>
    </row>
    <row r="27" spans="1:13" ht="27.75" customHeight="1" x14ac:dyDescent="0.2">
      <c r="A27" s="73" t="s">
        <v>366</v>
      </c>
      <c r="B27" s="90" t="s">
        <v>367</v>
      </c>
      <c r="C27" s="74" t="s">
        <v>368</v>
      </c>
      <c r="D27" s="74" t="s">
        <v>369</v>
      </c>
      <c r="E27" s="74" t="s">
        <v>370</v>
      </c>
      <c r="F27" s="74" t="s">
        <v>365</v>
      </c>
    </row>
    <row r="28" spans="1:13" ht="27.75" customHeight="1" x14ac:dyDescent="0.2">
      <c r="A28" s="49" t="s">
        <v>371</v>
      </c>
      <c r="B28" s="91" t="s">
        <v>372</v>
      </c>
      <c r="C28" s="27" t="s">
        <v>373</v>
      </c>
      <c r="D28" s="27" t="s">
        <v>363</v>
      </c>
      <c r="E28" s="27" t="s">
        <v>374</v>
      </c>
      <c r="F28" s="27" t="s">
        <v>375</v>
      </c>
    </row>
    <row r="29" spans="1:13" ht="27.75" customHeight="1" x14ac:dyDescent="0.2">
      <c r="A29" s="49" t="s">
        <v>371</v>
      </c>
      <c r="B29" s="91" t="s">
        <v>376</v>
      </c>
      <c r="C29" s="27" t="s">
        <v>373</v>
      </c>
      <c r="D29" s="27" t="s">
        <v>377</v>
      </c>
      <c r="E29" s="27" t="s">
        <v>378</v>
      </c>
      <c r="F29" s="27" t="s">
        <v>375</v>
      </c>
    </row>
    <row r="30" spans="1:13" ht="27.75" customHeight="1" x14ac:dyDescent="0.2">
      <c r="A30" s="49" t="s">
        <v>379</v>
      </c>
      <c r="B30" s="91" t="s">
        <v>380</v>
      </c>
      <c r="C30" s="27" t="s">
        <v>381</v>
      </c>
      <c r="D30" s="27" t="s">
        <v>276</v>
      </c>
      <c r="E30" s="27" t="s">
        <v>382</v>
      </c>
      <c r="F30" s="27" t="s">
        <v>375</v>
      </c>
    </row>
    <row r="31" spans="1:13" ht="27.75" customHeight="1" x14ac:dyDescent="0.2">
      <c r="A31" s="52" t="s">
        <v>379</v>
      </c>
      <c r="B31" s="92" t="s">
        <v>383</v>
      </c>
      <c r="C31" s="32" t="s">
        <v>381</v>
      </c>
      <c r="D31" s="32" t="s">
        <v>384</v>
      </c>
      <c r="E31" s="32" t="s">
        <v>385</v>
      </c>
      <c r="F31" s="32" t="s">
        <v>386</v>
      </c>
    </row>
    <row r="32" spans="1:13" ht="27.75" customHeight="1" x14ac:dyDescent="0.2">
      <c r="A32" s="52" t="s">
        <v>387</v>
      </c>
      <c r="B32" s="92" t="s">
        <v>388</v>
      </c>
      <c r="C32" s="32" t="s">
        <v>389</v>
      </c>
      <c r="D32" s="32" t="s">
        <v>390</v>
      </c>
      <c r="E32" s="32" t="s">
        <v>391</v>
      </c>
      <c r="F32" s="32" t="s">
        <v>386</v>
      </c>
    </row>
    <row r="33" spans="1:6" ht="27.75" customHeight="1" x14ac:dyDescent="0.2">
      <c r="A33" s="52" t="s">
        <v>387</v>
      </c>
      <c r="B33" s="92" t="s">
        <v>392</v>
      </c>
      <c r="C33" s="32" t="s">
        <v>389</v>
      </c>
      <c r="D33" s="32" t="s">
        <v>271</v>
      </c>
      <c r="E33" s="32" t="s">
        <v>393</v>
      </c>
      <c r="F33" s="32" t="s">
        <v>375</v>
      </c>
    </row>
    <row r="34" spans="1:6" ht="27.75" customHeight="1" x14ac:dyDescent="0.2">
      <c r="A34" s="52" t="s">
        <v>394</v>
      </c>
      <c r="B34" s="92" t="s">
        <v>395</v>
      </c>
      <c r="C34" s="32" t="s">
        <v>396</v>
      </c>
      <c r="D34" s="32" t="s">
        <v>397</v>
      </c>
      <c r="E34" s="32" t="s">
        <v>398</v>
      </c>
      <c r="F34" s="32" t="s">
        <v>386</v>
      </c>
    </row>
    <row r="35" spans="1:6" ht="27.75" customHeight="1" x14ac:dyDescent="0.2">
      <c r="A35" s="52" t="s">
        <v>399</v>
      </c>
      <c r="B35" s="92" t="s">
        <v>400</v>
      </c>
      <c r="C35" s="32" t="s">
        <v>401</v>
      </c>
      <c r="D35" s="32" t="s">
        <v>402</v>
      </c>
      <c r="E35" s="32" t="s">
        <v>403</v>
      </c>
      <c r="F35" s="32" t="s">
        <v>386</v>
      </c>
    </row>
  </sheetData>
  <mergeCells count="4">
    <mergeCell ref="A1:J1"/>
    <mergeCell ref="A3:F3"/>
    <mergeCell ref="A15:M15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5623"/>
  </sheetPr>
  <dimension ref="A1:J36"/>
  <sheetViews>
    <sheetView showGridLines="0" zoomScaleNormal="100" workbookViewId="0"/>
  </sheetViews>
  <sheetFormatPr defaultColWidth="8.7421875" defaultRowHeight="15" x14ac:dyDescent="0.2"/>
  <cols>
    <col min="1" max="1" width="29.99609375" style="15" customWidth="1"/>
    <col min="2" max="3" width="34.97265625" style="15" customWidth="1"/>
    <col min="4" max="6" width="20.04296875" style="15" customWidth="1"/>
  </cols>
  <sheetData>
    <row r="1" spans="1:10" ht="36" customHeight="1" x14ac:dyDescent="0.2">
      <c r="A1" s="97" t="s">
        <v>404</v>
      </c>
      <c r="B1" s="97"/>
      <c r="C1" s="97"/>
      <c r="D1" s="97"/>
      <c r="E1" s="97"/>
      <c r="F1" s="97"/>
      <c r="G1" s="97"/>
      <c r="H1" s="97"/>
      <c r="I1" s="97"/>
      <c r="J1" s="97"/>
    </row>
    <row r="3" spans="1:10" ht="27.75" customHeight="1" x14ac:dyDescent="0.2">
      <c r="A3" s="141" t="s">
        <v>405</v>
      </c>
      <c r="B3" s="141"/>
      <c r="C3" s="141"/>
      <c r="D3" s="141"/>
      <c r="E3" s="141"/>
      <c r="F3" s="141"/>
    </row>
    <row r="4" spans="1:10" ht="36" customHeight="1" x14ac:dyDescent="0.2">
      <c r="A4" s="47" t="s">
        <v>406</v>
      </c>
      <c r="B4" s="68" t="s">
        <v>407</v>
      </c>
      <c r="C4" s="22" t="s">
        <v>408</v>
      </c>
    </row>
    <row r="5" spans="1:10" ht="36" customHeight="1" x14ac:dyDescent="0.2">
      <c r="A5" s="57" t="s">
        <v>409</v>
      </c>
      <c r="B5" s="67" t="s">
        <v>410</v>
      </c>
      <c r="C5" s="17" t="s">
        <v>411</v>
      </c>
    </row>
    <row r="6" spans="1:10" ht="36" customHeight="1" x14ac:dyDescent="0.2">
      <c r="A6" s="47" t="s">
        <v>412</v>
      </c>
      <c r="B6" s="68" t="s">
        <v>413</v>
      </c>
      <c r="C6" s="22" t="s">
        <v>414</v>
      </c>
    </row>
    <row r="7" spans="1:10" ht="36" customHeight="1" x14ac:dyDescent="0.2">
      <c r="A7" s="57" t="s">
        <v>415</v>
      </c>
      <c r="B7" s="67" t="s">
        <v>416</v>
      </c>
      <c r="C7" s="17" t="s">
        <v>417</v>
      </c>
    </row>
    <row r="8" spans="1:10" ht="36" customHeight="1" x14ac:dyDescent="0.2">
      <c r="A8" s="47" t="s">
        <v>418</v>
      </c>
      <c r="B8" s="68" t="s">
        <v>419</v>
      </c>
      <c r="C8" s="22" t="s">
        <v>420</v>
      </c>
    </row>
    <row r="9" spans="1:10" ht="36" customHeight="1" x14ac:dyDescent="0.2">
      <c r="A9" s="57" t="s">
        <v>421</v>
      </c>
      <c r="B9" s="67" t="s">
        <v>422</v>
      </c>
      <c r="C9" s="17" t="s">
        <v>423</v>
      </c>
    </row>
    <row r="12" spans="1:10" ht="27.75" customHeight="1" x14ac:dyDescent="0.2">
      <c r="A12" s="12" t="s">
        <v>424</v>
      </c>
      <c r="B12" s="12"/>
      <c r="C12" s="12"/>
      <c r="D12" s="12"/>
      <c r="E12" s="12"/>
      <c r="F12" s="12"/>
    </row>
    <row r="13" spans="1:10" ht="36" customHeight="1" x14ac:dyDescent="0.2">
      <c r="A13" s="89" t="s">
        <v>306</v>
      </c>
      <c r="B13" s="89" t="s">
        <v>425</v>
      </c>
      <c r="C13" s="89" t="s">
        <v>426</v>
      </c>
      <c r="D13" s="89" t="s">
        <v>427</v>
      </c>
      <c r="E13" s="89" t="s">
        <v>428</v>
      </c>
      <c r="F13" s="89" t="s">
        <v>429</v>
      </c>
    </row>
    <row r="14" spans="1:10" ht="24" customHeight="1" x14ac:dyDescent="0.2">
      <c r="A14" s="40" t="s">
        <v>430</v>
      </c>
      <c r="B14" s="93" t="s">
        <v>431</v>
      </c>
      <c r="C14" s="94" t="s">
        <v>432</v>
      </c>
      <c r="D14" s="94" t="s">
        <v>433</v>
      </c>
      <c r="E14" s="67" t="s">
        <v>434</v>
      </c>
      <c r="F14" s="67" t="s">
        <v>435</v>
      </c>
    </row>
    <row r="15" spans="1:10" ht="24" customHeight="1" x14ac:dyDescent="0.2">
      <c r="A15" s="53" t="s">
        <v>436</v>
      </c>
      <c r="B15" s="95" t="s">
        <v>437</v>
      </c>
      <c r="C15" s="96" t="s">
        <v>438</v>
      </c>
      <c r="D15" s="96" t="s">
        <v>438</v>
      </c>
      <c r="E15" s="68" t="s">
        <v>439</v>
      </c>
      <c r="F15" s="68" t="s">
        <v>440</v>
      </c>
    </row>
    <row r="16" spans="1:10" ht="24" customHeight="1" x14ac:dyDescent="0.2">
      <c r="A16" s="40" t="s">
        <v>343</v>
      </c>
      <c r="B16" s="93" t="s">
        <v>441</v>
      </c>
      <c r="C16" s="94" t="s">
        <v>442</v>
      </c>
      <c r="D16" s="94" t="s">
        <v>443</v>
      </c>
      <c r="E16" s="67" t="s">
        <v>444</v>
      </c>
      <c r="F16" s="67" t="s">
        <v>445</v>
      </c>
    </row>
    <row r="17" spans="1:6" ht="24" customHeight="1" x14ac:dyDescent="0.2">
      <c r="A17" s="53" t="s">
        <v>446</v>
      </c>
      <c r="B17" s="95" t="s">
        <v>447</v>
      </c>
      <c r="C17" s="96" t="s">
        <v>448</v>
      </c>
      <c r="D17" s="96" t="s">
        <v>449</v>
      </c>
      <c r="E17" s="68" t="s">
        <v>450</v>
      </c>
      <c r="F17" s="68" t="s">
        <v>451</v>
      </c>
    </row>
    <row r="18" spans="1:6" ht="24" customHeight="1" x14ac:dyDescent="0.2">
      <c r="A18" s="40" t="s">
        <v>452</v>
      </c>
      <c r="B18" s="93" t="s">
        <v>453</v>
      </c>
      <c r="C18" s="94" t="s">
        <v>454</v>
      </c>
      <c r="D18" s="94" t="s">
        <v>455</v>
      </c>
      <c r="E18" s="67" t="s">
        <v>456</v>
      </c>
      <c r="F18" s="67" t="s">
        <v>457</v>
      </c>
    </row>
    <row r="19" spans="1:6" ht="24" customHeight="1" x14ac:dyDescent="0.2">
      <c r="A19" s="53" t="s">
        <v>105</v>
      </c>
      <c r="B19" s="95" t="s">
        <v>458</v>
      </c>
      <c r="C19" s="96" t="s">
        <v>459</v>
      </c>
      <c r="D19" s="96" t="s">
        <v>460</v>
      </c>
      <c r="E19" s="68" t="s">
        <v>461</v>
      </c>
      <c r="F19" s="68" t="s">
        <v>462</v>
      </c>
    </row>
    <row r="20" spans="1:6" ht="24" customHeight="1" x14ac:dyDescent="0.2">
      <c r="A20" s="40" t="s">
        <v>333</v>
      </c>
      <c r="B20" s="93" t="s">
        <v>463</v>
      </c>
      <c r="C20" s="94" t="s">
        <v>464</v>
      </c>
      <c r="D20" s="94" t="s">
        <v>460</v>
      </c>
      <c r="E20" s="67" t="s">
        <v>465</v>
      </c>
      <c r="F20" s="67" t="s">
        <v>466</v>
      </c>
    </row>
    <row r="21" spans="1:6" ht="24" customHeight="1" x14ac:dyDescent="0.2">
      <c r="A21" s="53" t="s">
        <v>337</v>
      </c>
      <c r="B21" s="95" t="s">
        <v>467</v>
      </c>
      <c r="C21" s="96" t="s">
        <v>468</v>
      </c>
      <c r="D21" s="96" t="s">
        <v>469</v>
      </c>
      <c r="E21" s="68" t="s">
        <v>470</v>
      </c>
      <c r="F21" s="68" t="s">
        <v>471</v>
      </c>
    </row>
    <row r="22" spans="1:6" ht="24" customHeight="1" x14ac:dyDescent="0.2">
      <c r="A22" s="40" t="s">
        <v>472</v>
      </c>
      <c r="B22" s="93" t="s">
        <v>473</v>
      </c>
      <c r="C22" s="94" t="s">
        <v>474</v>
      </c>
      <c r="D22" s="94" t="s">
        <v>475</v>
      </c>
      <c r="E22" s="67" t="s">
        <v>476</v>
      </c>
      <c r="F22" s="67" t="s">
        <v>477</v>
      </c>
    </row>
    <row r="23" spans="1:6" ht="24" customHeight="1" x14ac:dyDescent="0.2">
      <c r="A23" s="53" t="s">
        <v>478</v>
      </c>
      <c r="B23" s="95" t="s">
        <v>479</v>
      </c>
      <c r="C23" s="96" t="s">
        <v>480</v>
      </c>
      <c r="D23" s="96" t="s">
        <v>481</v>
      </c>
      <c r="E23" s="68" t="s">
        <v>482</v>
      </c>
      <c r="F23" s="68" t="s">
        <v>483</v>
      </c>
    </row>
    <row r="24" spans="1:6" ht="24" customHeight="1" x14ac:dyDescent="0.2">
      <c r="A24" s="40" t="s">
        <v>484</v>
      </c>
      <c r="B24" s="93" t="s">
        <v>485</v>
      </c>
      <c r="C24" s="94" t="s">
        <v>486</v>
      </c>
      <c r="D24" s="94" t="s">
        <v>487</v>
      </c>
      <c r="E24" s="67" t="s">
        <v>488</v>
      </c>
      <c r="F24" s="67" t="s">
        <v>489</v>
      </c>
    </row>
    <row r="25" spans="1:6" ht="24" customHeight="1" x14ac:dyDescent="0.2">
      <c r="A25" s="53" t="s">
        <v>490</v>
      </c>
      <c r="B25" s="95" t="s">
        <v>491</v>
      </c>
      <c r="C25" s="96" t="s">
        <v>492</v>
      </c>
      <c r="D25" s="96" t="s">
        <v>493</v>
      </c>
      <c r="E25" s="68" t="s">
        <v>494</v>
      </c>
      <c r="F25" s="68" t="s">
        <v>495</v>
      </c>
    </row>
    <row r="26" spans="1:6" ht="24" customHeight="1" x14ac:dyDescent="0.2">
      <c r="A26" s="40" t="s">
        <v>496</v>
      </c>
      <c r="B26" s="93" t="s">
        <v>497</v>
      </c>
      <c r="C26" s="94" t="s">
        <v>498</v>
      </c>
      <c r="D26" s="94" t="s">
        <v>499</v>
      </c>
      <c r="E26" s="67" t="s">
        <v>500</v>
      </c>
      <c r="F26" s="67" t="s">
        <v>501</v>
      </c>
    </row>
    <row r="27" spans="1:6" ht="24" customHeight="1" x14ac:dyDescent="0.2">
      <c r="A27" s="53" t="s">
        <v>502</v>
      </c>
      <c r="B27" s="95" t="s">
        <v>503</v>
      </c>
      <c r="C27" s="96" t="s">
        <v>504</v>
      </c>
      <c r="D27" s="96" t="s">
        <v>505</v>
      </c>
      <c r="E27" s="68" t="s">
        <v>506</v>
      </c>
      <c r="F27" s="68" t="s">
        <v>507</v>
      </c>
    </row>
    <row r="28" spans="1:6" ht="24" customHeight="1" x14ac:dyDescent="0.2">
      <c r="A28" s="40" t="s">
        <v>508</v>
      </c>
      <c r="B28" s="93" t="s">
        <v>509</v>
      </c>
      <c r="C28" s="94" t="s">
        <v>510</v>
      </c>
      <c r="D28" s="94" t="s">
        <v>511</v>
      </c>
      <c r="E28" s="67" t="s">
        <v>512</v>
      </c>
      <c r="F28" s="67" t="s">
        <v>513</v>
      </c>
    </row>
    <row r="31" spans="1:6" ht="27.75" customHeight="1" x14ac:dyDescent="0.2">
      <c r="A31" s="141" t="s">
        <v>514</v>
      </c>
      <c r="B31" s="141"/>
      <c r="C31" s="141"/>
      <c r="D31" s="141"/>
      <c r="E31" s="141"/>
      <c r="F31" s="141"/>
    </row>
    <row r="32" spans="1:6" ht="27.75" customHeight="1" x14ac:dyDescent="0.2">
      <c r="A32" s="47" t="s">
        <v>515</v>
      </c>
      <c r="B32" s="68" t="s">
        <v>516</v>
      </c>
      <c r="C32" s="142" t="s">
        <v>517</v>
      </c>
      <c r="D32" s="142"/>
      <c r="E32" s="142"/>
      <c r="F32" s="142"/>
    </row>
    <row r="33" spans="1:6" ht="27.75" customHeight="1" x14ac:dyDescent="0.2">
      <c r="A33" s="47" t="s">
        <v>518</v>
      </c>
      <c r="B33" s="68" t="s">
        <v>519</v>
      </c>
      <c r="C33" s="142" t="s">
        <v>520</v>
      </c>
      <c r="D33" s="142"/>
      <c r="E33" s="142"/>
      <c r="F33" s="142"/>
    </row>
    <row r="34" spans="1:6" ht="27.75" customHeight="1" x14ac:dyDescent="0.2">
      <c r="A34" s="47" t="s">
        <v>521</v>
      </c>
      <c r="B34" s="68" t="s">
        <v>522</v>
      </c>
      <c r="C34" s="142" t="s">
        <v>523</v>
      </c>
      <c r="D34" s="142"/>
      <c r="E34" s="142"/>
      <c r="F34" s="142"/>
    </row>
    <row r="35" spans="1:6" ht="27.75" customHeight="1" x14ac:dyDescent="0.2">
      <c r="A35" s="47" t="s">
        <v>524</v>
      </c>
      <c r="B35" s="68" t="s">
        <v>525</v>
      </c>
      <c r="C35" s="142" t="s">
        <v>526</v>
      </c>
      <c r="D35" s="142"/>
      <c r="E35" s="142"/>
      <c r="F35" s="142"/>
    </row>
    <row r="36" spans="1:6" ht="27.75" customHeight="1" x14ac:dyDescent="0.2">
      <c r="A36" s="47" t="s">
        <v>527</v>
      </c>
      <c r="B36" s="68" t="s">
        <v>528</v>
      </c>
      <c r="C36" s="142" t="s">
        <v>529</v>
      </c>
      <c r="D36" s="142"/>
      <c r="E36" s="142"/>
      <c r="F36" s="142"/>
    </row>
  </sheetData>
  <mergeCells count="9">
    <mergeCell ref="C33:F33"/>
    <mergeCell ref="C34:F34"/>
    <mergeCell ref="C35:F35"/>
    <mergeCell ref="C36:F36"/>
    <mergeCell ref="A1:J1"/>
    <mergeCell ref="A3:F3"/>
    <mergeCell ref="A12:F12"/>
    <mergeCell ref="A31:F31"/>
    <mergeCell ref="C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E36"/>
  <sheetViews>
    <sheetView showGridLines="0" zoomScaleNormal="100" workbookViewId="0"/>
  </sheetViews>
  <sheetFormatPr defaultColWidth="8.7421875" defaultRowHeight="15" x14ac:dyDescent="0.2"/>
  <cols>
    <col min="1" max="1" width="34.97265625" style="15" customWidth="1"/>
    <col min="2" max="2" width="25.01953125" style="15" customWidth="1"/>
    <col min="3" max="3" width="20.04296875" style="15" customWidth="1"/>
    <col min="4" max="4" width="25.01953125" style="15" customWidth="1"/>
    <col min="5" max="5" width="34.97265625" style="15" customWidth="1"/>
  </cols>
  <sheetData>
    <row r="1" spans="1:5" ht="36" customHeight="1" x14ac:dyDescent="0.2">
      <c r="A1" s="97" t="s">
        <v>530</v>
      </c>
      <c r="B1" s="97"/>
      <c r="C1" s="97"/>
      <c r="D1" s="97"/>
      <c r="E1" s="97"/>
    </row>
    <row r="3" spans="1:5" ht="21.75" customHeight="1" x14ac:dyDescent="0.2">
      <c r="A3" s="71" t="s">
        <v>531</v>
      </c>
      <c r="B3" s="42" t="s">
        <v>532</v>
      </c>
      <c r="C3" s="42" t="s">
        <v>533</v>
      </c>
      <c r="D3" s="42" t="s">
        <v>534</v>
      </c>
      <c r="E3" s="42" t="s">
        <v>535</v>
      </c>
    </row>
    <row r="4" spans="1:5" ht="21.75" customHeight="1" x14ac:dyDescent="0.2">
      <c r="A4" s="143" t="s">
        <v>536</v>
      </c>
      <c r="B4" s="143"/>
      <c r="C4" s="143"/>
      <c r="D4" s="143"/>
      <c r="E4" s="143"/>
    </row>
    <row r="5" spans="1:5" ht="21.75" customHeight="1" x14ac:dyDescent="0.2">
      <c r="A5" s="40" t="s">
        <v>537</v>
      </c>
      <c r="B5" s="17" t="s">
        <v>538</v>
      </c>
      <c r="C5" s="20" t="s">
        <v>539</v>
      </c>
      <c r="D5" s="17" t="s">
        <v>540</v>
      </c>
      <c r="E5" s="17" t="s">
        <v>541</v>
      </c>
    </row>
    <row r="6" spans="1:5" ht="21.75" customHeight="1" x14ac:dyDescent="0.2">
      <c r="A6" s="53" t="s">
        <v>542</v>
      </c>
      <c r="B6" s="22" t="s">
        <v>538</v>
      </c>
      <c r="C6" s="25" t="s">
        <v>543</v>
      </c>
      <c r="D6" s="22" t="s">
        <v>544</v>
      </c>
      <c r="E6" s="22" t="s">
        <v>545</v>
      </c>
    </row>
    <row r="7" spans="1:5" ht="21.75" customHeight="1" x14ac:dyDescent="0.2">
      <c r="A7" s="40" t="s">
        <v>546</v>
      </c>
      <c r="B7" s="17" t="s">
        <v>538</v>
      </c>
      <c r="C7" s="20" t="s">
        <v>547</v>
      </c>
      <c r="D7" s="17" t="s">
        <v>548</v>
      </c>
      <c r="E7" s="17" t="s">
        <v>549</v>
      </c>
    </row>
    <row r="8" spans="1:5" ht="21.75" customHeight="1" x14ac:dyDescent="0.2">
      <c r="A8" s="53" t="s">
        <v>550</v>
      </c>
      <c r="B8" s="22" t="s">
        <v>538</v>
      </c>
      <c r="C8" s="25" t="s">
        <v>551</v>
      </c>
      <c r="D8" s="22" t="s">
        <v>552</v>
      </c>
      <c r="E8" s="22" t="s">
        <v>553</v>
      </c>
    </row>
    <row r="9" spans="1:5" ht="21.75" customHeight="1" x14ac:dyDescent="0.2">
      <c r="A9" s="40" t="s">
        <v>554</v>
      </c>
      <c r="B9" s="17" t="s">
        <v>555</v>
      </c>
      <c r="C9" s="20" t="s">
        <v>59</v>
      </c>
      <c r="D9" s="17" t="s">
        <v>556</v>
      </c>
      <c r="E9" s="17" t="s">
        <v>557</v>
      </c>
    </row>
    <row r="10" spans="1:5" ht="21.75" customHeight="1" x14ac:dyDescent="0.2">
      <c r="A10" s="143" t="s">
        <v>351</v>
      </c>
      <c r="B10" s="143"/>
      <c r="C10" s="143"/>
      <c r="D10" s="143"/>
      <c r="E10" s="143"/>
    </row>
    <row r="11" spans="1:5" ht="21.75" customHeight="1" x14ac:dyDescent="0.2">
      <c r="A11" s="40" t="s">
        <v>558</v>
      </c>
      <c r="B11" s="17" t="s">
        <v>559</v>
      </c>
      <c r="C11" s="20" t="s">
        <v>560</v>
      </c>
      <c r="D11" s="17" t="s">
        <v>561</v>
      </c>
      <c r="E11" s="17" t="s">
        <v>562</v>
      </c>
    </row>
    <row r="12" spans="1:5" ht="21.75" customHeight="1" x14ac:dyDescent="0.2">
      <c r="A12" s="53" t="s">
        <v>563</v>
      </c>
      <c r="B12" s="22" t="s">
        <v>559</v>
      </c>
      <c r="C12" s="25" t="s">
        <v>564</v>
      </c>
      <c r="D12" s="22" t="s">
        <v>565</v>
      </c>
      <c r="E12" s="22" t="s">
        <v>566</v>
      </c>
    </row>
    <row r="13" spans="1:5" ht="21.75" customHeight="1" x14ac:dyDescent="0.2">
      <c r="A13" s="40" t="s">
        <v>567</v>
      </c>
      <c r="B13" s="17" t="s">
        <v>559</v>
      </c>
      <c r="C13" s="20" t="s">
        <v>568</v>
      </c>
      <c r="D13" s="17" t="s">
        <v>569</v>
      </c>
      <c r="E13" s="17" t="s">
        <v>570</v>
      </c>
    </row>
    <row r="14" spans="1:5" ht="21.75" customHeight="1" x14ac:dyDescent="0.2">
      <c r="A14" s="53" t="s">
        <v>571</v>
      </c>
      <c r="B14" s="22" t="s">
        <v>559</v>
      </c>
      <c r="C14" s="25" t="s">
        <v>572</v>
      </c>
      <c r="D14" s="22" t="s">
        <v>573</v>
      </c>
      <c r="E14" s="22" t="s">
        <v>574</v>
      </c>
    </row>
    <row r="15" spans="1:5" ht="21.75" customHeight="1" x14ac:dyDescent="0.2">
      <c r="A15" s="40" t="s">
        <v>575</v>
      </c>
      <c r="B15" s="17" t="s">
        <v>576</v>
      </c>
      <c r="C15" s="20" t="s">
        <v>577</v>
      </c>
      <c r="D15" s="17" t="s">
        <v>578</v>
      </c>
      <c r="E15" s="17" t="s">
        <v>579</v>
      </c>
    </row>
    <row r="16" spans="1:5" ht="21.75" customHeight="1" x14ac:dyDescent="0.2">
      <c r="A16" s="143" t="s">
        <v>580</v>
      </c>
      <c r="B16" s="143"/>
      <c r="C16" s="143"/>
      <c r="D16" s="143"/>
      <c r="E16" s="143"/>
    </row>
    <row r="17" spans="1:5" ht="21.75" customHeight="1" x14ac:dyDescent="0.2">
      <c r="A17" s="40" t="s">
        <v>581</v>
      </c>
      <c r="B17" s="17" t="s">
        <v>582</v>
      </c>
      <c r="C17" s="20" t="s">
        <v>583</v>
      </c>
      <c r="D17" s="17" t="s">
        <v>584</v>
      </c>
      <c r="E17" s="17" t="s">
        <v>585</v>
      </c>
    </row>
    <row r="18" spans="1:5" ht="21.75" customHeight="1" x14ac:dyDescent="0.2">
      <c r="A18" s="53" t="s">
        <v>337</v>
      </c>
      <c r="B18" s="22" t="s">
        <v>586</v>
      </c>
      <c r="C18" s="25" t="s">
        <v>587</v>
      </c>
      <c r="D18" s="22" t="s">
        <v>588</v>
      </c>
      <c r="E18" s="22" t="s">
        <v>589</v>
      </c>
    </row>
    <row r="19" spans="1:5" ht="21.75" customHeight="1" x14ac:dyDescent="0.2">
      <c r="A19" s="40" t="s">
        <v>590</v>
      </c>
      <c r="B19" s="17" t="s">
        <v>591</v>
      </c>
      <c r="C19" s="20" t="s">
        <v>592</v>
      </c>
      <c r="D19" s="17" t="s">
        <v>593</v>
      </c>
      <c r="E19" s="17" t="s">
        <v>594</v>
      </c>
    </row>
    <row r="20" spans="1:5" ht="21.75" customHeight="1" x14ac:dyDescent="0.2">
      <c r="A20" s="53" t="s">
        <v>595</v>
      </c>
      <c r="B20" s="22" t="s">
        <v>596</v>
      </c>
      <c r="C20" s="25" t="s">
        <v>597</v>
      </c>
      <c r="D20" s="22" t="s">
        <v>598</v>
      </c>
      <c r="E20" s="22" t="s">
        <v>599</v>
      </c>
    </row>
    <row r="21" spans="1:5" ht="21.75" customHeight="1" x14ac:dyDescent="0.2">
      <c r="A21" s="143" t="s">
        <v>600</v>
      </c>
      <c r="B21" s="143"/>
      <c r="C21" s="143"/>
      <c r="D21" s="143"/>
      <c r="E21" s="143"/>
    </row>
    <row r="22" spans="1:5" ht="21.75" customHeight="1" x14ac:dyDescent="0.2">
      <c r="A22" s="53" t="s">
        <v>601</v>
      </c>
      <c r="B22" s="22" t="s">
        <v>602</v>
      </c>
      <c r="C22" s="25" t="s">
        <v>18</v>
      </c>
      <c r="D22" s="22" t="s">
        <v>603</v>
      </c>
      <c r="E22" s="22" t="s">
        <v>604</v>
      </c>
    </row>
    <row r="23" spans="1:5" ht="21.75" customHeight="1" x14ac:dyDescent="0.2">
      <c r="A23" s="40" t="s">
        <v>605</v>
      </c>
      <c r="B23" s="17" t="s">
        <v>606</v>
      </c>
      <c r="C23" s="20" t="s">
        <v>607</v>
      </c>
      <c r="D23" s="17" t="s">
        <v>608</v>
      </c>
      <c r="E23" s="17" t="s">
        <v>609</v>
      </c>
    </row>
    <row r="24" spans="1:5" ht="21.75" customHeight="1" x14ac:dyDescent="0.2">
      <c r="A24" s="53" t="s">
        <v>610</v>
      </c>
      <c r="B24" s="22" t="s">
        <v>611</v>
      </c>
      <c r="C24" s="25" t="s">
        <v>612</v>
      </c>
      <c r="D24" s="22" t="s">
        <v>613</v>
      </c>
      <c r="E24" s="22" t="s">
        <v>614</v>
      </c>
    </row>
    <row r="25" spans="1:5" ht="21.75" customHeight="1" x14ac:dyDescent="0.2">
      <c r="A25" s="40" t="s">
        <v>615</v>
      </c>
      <c r="B25" s="17" t="s">
        <v>616</v>
      </c>
      <c r="C25" s="20" t="s">
        <v>617</v>
      </c>
      <c r="D25" s="17" t="s">
        <v>618</v>
      </c>
      <c r="E25" s="17" t="s">
        <v>619</v>
      </c>
    </row>
    <row r="26" spans="1:5" ht="21.75" customHeight="1" x14ac:dyDescent="0.2">
      <c r="A26" s="53" t="s">
        <v>620</v>
      </c>
      <c r="B26" s="22" t="s">
        <v>621</v>
      </c>
      <c r="C26" s="25" t="s">
        <v>622</v>
      </c>
      <c r="D26" s="22" t="s">
        <v>623</v>
      </c>
      <c r="E26" s="22" t="s">
        <v>624</v>
      </c>
    </row>
    <row r="27" spans="1:5" ht="21.75" customHeight="1" x14ac:dyDescent="0.2">
      <c r="A27" s="143" t="s">
        <v>625</v>
      </c>
      <c r="B27" s="143"/>
      <c r="C27" s="143"/>
      <c r="D27" s="143"/>
      <c r="E27" s="143"/>
    </row>
    <row r="28" spans="1:5" ht="21.75" customHeight="1" x14ac:dyDescent="0.2">
      <c r="A28" s="53" t="s">
        <v>472</v>
      </c>
      <c r="B28" s="22" t="s">
        <v>626</v>
      </c>
      <c r="C28" s="25" t="s">
        <v>475</v>
      </c>
      <c r="D28" s="22" t="s">
        <v>627</v>
      </c>
      <c r="E28" s="22" t="s">
        <v>628</v>
      </c>
    </row>
    <row r="29" spans="1:5" ht="21.75" customHeight="1" x14ac:dyDescent="0.2">
      <c r="A29" s="40" t="s">
        <v>629</v>
      </c>
      <c r="B29" s="17" t="s">
        <v>630</v>
      </c>
      <c r="C29" s="20" t="s">
        <v>631</v>
      </c>
      <c r="D29" s="17" t="s">
        <v>632</v>
      </c>
      <c r="E29" s="17" t="s">
        <v>633</v>
      </c>
    </row>
    <row r="30" spans="1:5" ht="21.75" customHeight="1" x14ac:dyDescent="0.2">
      <c r="A30" s="53" t="s">
        <v>634</v>
      </c>
      <c r="B30" s="22" t="s">
        <v>635</v>
      </c>
      <c r="C30" s="25" t="s">
        <v>636</v>
      </c>
      <c r="D30" s="22" t="s">
        <v>637</v>
      </c>
      <c r="E30" s="22" t="s">
        <v>638</v>
      </c>
    </row>
    <row r="31" spans="1:5" ht="21.75" customHeight="1" x14ac:dyDescent="0.2">
      <c r="A31" s="40" t="s">
        <v>639</v>
      </c>
      <c r="B31" s="17" t="s">
        <v>640</v>
      </c>
      <c r="C31" s="20" t="s">
        <v>641</v>
      </c>
      <c r="D31" s="17" t="s">
        <v>642</v>
      </c>
      <c r="E31" s="17" t="s">
        <v>643</v>
      </c>
    </row>
    <row r="32" spans="1:5" ht="21.75" customHeight="1" x14ac:dyDescent="0.2">
      <c r="A32" s="143" t="s">
        <v>644</v>
      </c>
      <c r="B32" s="143"/>
      <c r="C32" s="143"/>
      <c r="D32" s="143"/>
      <c r="E32" s="143"/>
    </row>
    <row r="33" spans="1:5" ht="21.75" customHeight="1" x14ac:dyDescent="0.2">
      <c r="A33" s="40" t="s">
        <v>645</v>
      </c>
      <c r="B33" s="17" t="s">
        <v>646</v>
      </c>
      <c r="C33" s="20" t="s">
        <v>647</v>
      </c>
      <c r="D33" s="17" t="s">
        <v>648</v>
      </c>
      <c r="E33" s="17" t="s">
        <v>649</v>
      </c>
    </row>
    <row r="34" spans="1:5" ht="21.75" customHeight="1" x14ac:dyDescent="0.2">
      <c r="A34" s="53" t="s">
        <v>650</v>
      </c>
      <c r="B34" s="22" t="s">
        <v>651</v>
      </c>
      <c r="C34" s="25" t="s">
        <v>652</v>
      </c>
      <c r="D34" s="22" t="s">
        <v>653</v>
      </c>
      <c r="E34" s="22" t="s">
        <v>654</v>
      </c>
    </row>
    <row r="35" spans="1:5" ht="21.75" customHeight="1" x14ac:dyDescent="0.2">
      <c r="A35" s="40" t="s">
        <v>655</v>
      </c>
      <c r="B35" s="17" t="s">
        <v>656</v>
      </c>
      <c r="C35" s="20" t="s">
        <v>657</v>
      </c>
      <c r="D35" s="17" t="s">
        <v>658</v>
      </c>
      <c r="E35" s="17" t="s">
        <v>659</v>
      </c>
    </row>
    <row r="36" spans="1:5" ht="21.75" customHeight="1" x14ac:dyDescent="0.2">
      <c r="A36" s="53" t="s">
        <v>660</v>
      </c>
      <c r="B36" s="22" t="s">
        <v>661</v>
      </c>
      <c r="C36" s="25" t="s">
        <v>662</v>
      </c>
      <c r="D36" s="22" t="s">
        <v>663</v>
      </c>
      <c r="E36" s="22" t="s">
        <v>664</v>
      </c>
    </row>
  </sheetData>
  <mergeCells count="7">
    <mergeCell ref="A27:E27"/>
    <mergeCell ref="A32:E32"/>
    <mergeCell ref="A1:E1"/>
    <mergeCell ref="A4:E4"/>
    <mergeCell ref="A10:E10"/>
    <mergeCell ref="A16:E16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💰 Unit Economics</vt:lpstr>
      <vt:lpstr>📈 P&amp;L Projections</vt:lpstr>
      <vt:lpstr>📉 D2C Key Metrics</vt:lpstr>
      <vt:lpstr>💸 Budget &amp; Cash Flow</vt:lpstr>
      <vt:lpstr>🚀 Scale-Up Plan</vt:lpstr>
      <vt:lpstr>⚠️ Downside &amp; Pivot</vt:lpstr>
      <vt:lpstr>🔍 Competitor Analysis</vt:lpstr>
      <vt:lpstr>⚙️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2026-03-07T07:51:11Z</dcterms:created>
  <dcterms:modified xsi:type="dcterms:W3CDTF">2026-03-07T07:51:24Z</dcterms:modified>
  <dc:language>en-US</dc:language>
</cp:coreProperties>
</file>